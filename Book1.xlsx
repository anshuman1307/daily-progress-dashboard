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uman.f.sharma/Downloads/"/>
    </mc:Choice>
  </mc:AlternateContent>
  <xr:revisionPtr revIDLastSave="0" documentId="13_ncr:1_{4BFC2A72-1383-2F4D-841C-4A1DB083365C}" xr6:coauthVersionLast="47" xr6:coauthVersionMax="47" xr10:uidLastSave="{00000000-0000-0000-0000-000000000000}"/>
  <bookViews>
    <workbookView xWindow="0" yWindow="660" windowWidth="34560" windowHeight="19880" activeTab="3" xr2:uid="{169FC4D4-6761-454F-8FAC-D17723F8910D}"/>
  </bookViews>
  <sheets>
    <sheet name="OPD" sheetId="1" r:id="rId1"/>
    <sheet name="OPD BACKUP" sheetId="2" r:id="rId2"/>
    <sheet name="EMR" sheetId="3" r:id="rId3"/>
    <sheet name="EMR BACKUP" sheetId="4" r:id="rId4"/>
  </sheets>
  <externalReferences>
    <externalReference r:id="rId5"/>
    <externalReference r:id="rId6"/>
    <externalReference r:id="rId7"/>
    <externalReference r:id="rId8"/>
  </externalReferences>
  <definedNames>
    <definedName name="Actual" localSheetId="3">('[1]EMR Backup Sheet'!PeriodInActual*('[1]EMR Backup Sheet'!#REF!&gt;0))*'[1]EMR Backup Sheet'!PeriodInPlan</definedName>
    <definedName name="Actual" localSheetId="1">('[1]OPD  Backup Sheet'!PeriodInActual*('[1]OPD  Backup Sheet'!#REF!&gt;0))*'[1]OPD  Backup Sheet'!PeriodInPlan</definedName>
    <definedName name="ActualBeyond" localSheetId="3">'[1]EMR Backup Sheet'!PeriodInActual*('[1]EMR Backup Sheet'!#REF!&gt;0)</definedName>
    <definedName name="ActualBeyond" localSheetId="1">'[1]OPD  Backup Sheet'!PeriodInActual*('[1]OPD  Backup Sheet'!#REF!&gt;0)</definedName>
    <definedName name="PercentCompleteBeyond" localSheetId="3">('[1]EMR Backup Sheet'!A$4=MEDIAN('[1]EMR Backup Sheet'!A$4,'[1]EMR Backup Sheet'!#REF!,'[1]EMR Backup Sheet'!#REF!+'[1]EMR Backup Sheet'!#REF!)*('[1]EMR Backup Sheet'!#REF!&gt;0))*(('[1]EMR Backup Sheet'!A$4&lt;(INT('[1]EMR Backup Sheet'!#REF!+'[1]EMR Backup Sheet'!#REF!*'[1]EMR Backup Sheet'!#REF!)))+('[1]EMR Backup Sheet'!A$4='[1]EMR Backup Sheet'!#REF!))*('[1]EMR Backup Sheet'!#REF!&gt;0)</definedName>
    <definedName name="PercentCompleteBeyond" localSheetId="1">('[1]OPD  Backup Sheet'!A$3=MEDIAN('[1]OPD  Backup Sheet'!A$3,'[1]OPD  Backup Sheet'!#REF!,'[1]OPD  Backup Sheet'!#REF!+'[1]OPD  Backup Sheet'!#REF!)*('[1]OPD  Backup Sheet'!#REF!&gt;0))*(('[1]OPD  Backup Sheet'!A$3&lt;(INT('[1]OPD  Backup Sheet'!#REF!+'[1]OPD  Backup Sheet'!#REF!*'[1]OPD  Backup Sheet'!#REF!)))+('[1]OPD  Backup Sheet'!A$3='[1]OPD  Backup Sheet'!#REF!))*('[1]OPD  Backup Sheet'!#REF!&gt;0)</definedName>
    <definedName name="period_selected" localSheetId="3">'[1]EMR Backup Sheet'!#REF!</definedName>
    <definedName name="period_selected" localSheetId="1">'[1]OPD  Backup Sheet'!#REF!</definedName>
    <definedName name="Plan" localSheetId="3">'[1]EMR Backup Sheet'!PeriodInPlan*('[1]EMR Backup Sheet'!$B1&gt;0)</definedName>
    <definedName name="Plan" localSheetId="1">'[1]OPD  Backup Sheet'!PeriodInPlan*('[1]OPD  Backup Sheet'!$B1&gt;0)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8" i="4" l="1"/>
  <c r="C78" i="4"/>
  <c r="J78" i="4" s="1"/>
  <c r="G77" i="4"/>
  <c r="C77" i="4"/>
  <c r="J77" i="4" s="1"/>
  <c r="J76" i="4"/>
  <c r="G76" i="4"/>
  <c r="J75" i="4"/>
  <c r="G75" i="4"/>
  <c r="J74" i="4"/>
  <c r="G74" i="4"/>
  <c r="J73" i="4"/>
  <c r="G73" i="4"/>
  <c r="K71" i="4"/>
  <c r="G71" i="4"/>
  <c r="K70" i="4"/>
  <c r="G70" i="4"/>
  <c r="K69" i="4"/>
  <c r="G69" i="4"/>
  <c r="K68" i="4"/>
  <c r="G68" i="4"/>
  <c r="K67" i="4"/>
  <c r="G67" i="4"/>
  <c r="K66" i="4"/>
  <c r="G66" i="4"/>
  <c r="G64" i="4"/>
  <c r="J63" i="4"/>
  <c r="K63" i="4" s="1"/>
  <c r="G63" i="4"/>
  <c r="J62" i="4"/>
  <c r="K62" i="4" s="1"/>
  <c r="G62" i="4"/>
  <c r="G61" i="4"/>
  <c r="E61" i="4"/>
  <c r="J61" i="4" s="1"/>
  <c r="J60" i="4"/>
  <c r="G60" i="4"/>
  <c r="J59" i="4"/>
  <c r="K59" i="4" s="1"/>
  <c r="G59" i="4"/>
  <c r="J58" i="4"/>
  <c r="K58" i="4" s="1"/>
  <c r="G58" i="4"/>
  <c r="J57" i="4"/>
  <c r="K57" i="4" s="1"/>
  <c r="G57" i="4"/>
  <c r="J56" i="4"/>
  <c r="K56" i="4" s="1"/>
  <c r="G56" i="4"/>
  <c r="J55" i="4"/>
  <c r="G55" i="4"/>
  <c r="J54" i="4"/>
  <c r="G54" i="4"/>
  <c r="J52" i="4"/>
  <c r="K52" i="4" s="1"/>
  <c r="G52" i="4"/>
  <c r="J51" i="4"/>
  <c r="K51" i="4" s="1"/>
  <c r="G51" i="4"/>
  <c r="J50" i="4"/>
  <c r="K50" i="4" s="1"/>
  <c r="G50" i="4"/>
  <c r="J49" i="4"/>
  <c r="K49" i="4" s="1"/>
  <c r="G49" i="4"/>
  <c r="J48" i="4"/>
  <c r="K48" i="4" s="1"/>
  <c r="G48" i="4"/>
  <c r="G47" i="4"/>
  <c r="E47" i="4"/>
  <c r="J47" i="4" s="1"/>
  <c r="K47" i="4" s="1"/>
  <c r="J46" i="4"/>
  <c r="K46" i="4" s="1"/>
  <c r="I46" i="4"/>
  <c r="G46" i="4"/>
  <c r="G43" i="4"/>
  <c r="E43" i="4"/>
  <c r="J43" i="4" s="1"/>
  <c r="K43" i="4" s="1"/>
  <c r="J42" i="4"/>
  <c r="K42" i="4" s="1"/>
  <c r="G42" i="4"/>
  <c r="J41" i="4"/>
  <c r="K41" i="4" s="1"/>
  <c r="G41" i="4"/>
  <c r="J40" i="4"/>
  <c r="K40" i="4" s="1"/>
  <c r="G40" i="4"/>
  <c r="J39" i="4"/>
  <c r="K39" i="4" s="1"/>
  <c r="G39" i="4"/>
  <c r="G37" i="4"/>
  <c r="E37" i="4"/>
  <c r="J37" i="4" s="1"/>
  <c r="J36" i="4"/>
  <c r="K36" i="4" s="1"/>
  <c r="G36" i="4"/>
  <c r="J35" i="4"/>
  <c r="K35" i="4" s="1"/>
  <c r="G35" i="4"/>
  <c r="J34" i="4"/>
  <c r="K34" i="4" s="1"/>
  <c r="G34" i="4"/>
  <c r="G32" i="4"/>
  <c r="G31" i="4"/>
  <c r="G23" i="4"/>
  <c r="G22" i="4"/>
  <c r="J19" i="4"/>
  <c r="K19" i="4" s="1"/>
  <c r="G19" i="4"/>
  <c r="F19" i="4"/>
  <c r="I19" i="4" s="1"/>
  <c r="J18" i="4"/>
  <c r="K18" i="4" s="1"/>
  <c r="G18" i="4"/>
  <c r="F18" i="4"/>
  <c r="I18" i="4" s="1"/>
  <c r="J17" i="4"/>
  <c r="K17" i="4" s="1"/>
  <c r="G17" i="4"/>
  <c r="F17" i="4"/>
  <c r="I17" i="4" s="1"/>
  <c r="G16" i="4"/>
  <c r="F16" i="4"/>
  <c r="I16" i="4" s="1"/>
  <c r="C16" i="4"/>
  <c r="G15" i="4"/>
  <c r="F15" i="4"/>
  <c r="I15" i="4" s="1"/>
  <c r="C15" i="4"/>
  <c r="G14" i="4"/>
  <c r="F14" i="4"/>
  <c r="I14" i="4" s="1"/>
  <c r="C14" i="4"/>
  <c r="B14" i="4"/>
  <c r="B15" i="4" s="1"/>
  <c r="B16" i="4" s="1"/>
  <c r="G13" i="4"/>
  <c r="F13" i="4"/>
  <c r="I13" i="4" s="1"/>
  <c r="C13" i="4"/>
  <c r="J13" i="4" s="1"/>
  <c r="G12" i="4"/>
  <c r="E12" i="4"/>
  <c r="G11" i="4"/>
  <c r="E11" i="4"/>
  <c r="C11" i="4"/>
  <c r="G10" i="4"/>
  <c r="F10" i="4"/>
  <c r="I10" i="4" s="1"/>
  <c r="C10" i="4"/>
  <c r="J10" i="4" s="1"/>
  <c r="J9" i="4"/>
  <c r="K9" i="4" s="1"/>
  <c r="G9" i="4"/>
  <c r="F9" i="4"/>
  <c r="I9" i="4" s="1"/>
  <c r="J8" i="4"/>
  <c r="K8" i="4" s="1"/>
  <c r="G8" i="4"/>
  <c r="F8" i="4"/>
  <c r="I8" i="4" s="1"/>
  <c r="G7" i="4"/>
  <c r="E7" i="4"/>
  <c r="F7" i="4" s="1"/>
  <c r="I7" i="4" s="1"/>
  <c r="N4" i="4"/>
  <c r="O4" i="4" s="1"/>
  <c r="P4" i="4" s="1"/>
  <c r="Q4" i="4" s="1"/>
  <c r="R4" i="4" s="1"/>
  <c r="S4" i="4" s="1"/>
  <c r="G82" i="2"/>
  <c r="G81" i="2"/>
  <c r="G80" i="2"/>
  <c r="I78" i="2"/>
  <c r="J78" i="2" s="1"/>
  <c r="G78" i="2"/>
  <c r="I77" i="2"/>
  <c r="I74" i="2" s="1"/>
  <c r="G77" i="2"/>
  <c r="I76" i="2"/>
  <c r="J76" i="2" s="1"/>
  <c r="G76" i="2"/>
  <c r="I75" i="2"/>
  <c r="J75" i="2" s="1"/>
  <c r="G75" i="2"/>
  <c r="F74" i="2"/>
  <c r="E74" i="2"/>
  <c r="G73" i="2"/>
  <c r="E73" i="2"/>
  <c r="I73" i="2" s="1"/>
  <c r="J73" i="2" s="1"/>
  <c r="J72" i="2"/>
  <c r="G72" i="2"/>
  <c r="F72" i="2"/>
  <c r="J71" i="2"/>
  <c r="G71" i="2"/>
  <c r="I70" i="2"/>
  <c r="J70" i="2" s="1"/>
  <c r="G70" i="2"/>
  <c r="I69" i="2"/>
  <c r="J69" i="2" s="1"/>
  <c r="K69" i="2" s="1"/>
  <c r="G69" i="2"/>
  <c r="I67" i="2"/>
  <c r="H67" i="2"/>
  <c r="G67" i="2"/>
  <c r="I66" i="2"/>
  <c r="J66" i="2" s="1"/>
  <c r="H66" i="2"/>
  <c r="G66" i="2"/>
  <c r="H65" i="2"/>
  <c r="I65" i="2" s="1"/>
  <c r="J65" i="2" s="1"/>
  <c r="G65" i="2"/>
  <c r="H64" i="2"/>
  <c r="I64" i="2" s="1"/>
  <c r="J64" i="2" s="1"/>
  <c r="K64" i="2" s="1"/>
  <c r="G64" i="2"/>
  <c r="I63" i="2"/>
  <c r="G63" i="2"/>
  <c r="C63" i="2"/>
  <c r="H62" i="2"/>
  <c r="I62" i="2" s="1"/>
  <c r="J62" i="2" s="1"/>
  <c r="G62" i="2"/>
  <c r="C62" i="2"/>
  <c r="H61" i="2"/>
  <c r="I61" i="2" s="1"/>
  <c r="J61" i="2" s="1"/>
  <c r="G61" i="2"/>
  <c r="H60" i="2"/>
  <c r="I60" i="2" s="1"/>
  <c r="J60" i="2" s="1"/>
  <c r="G60" i="2"/>
  <c r="I59" i="2"/>
  <c r="J59" i="2" s="1"/>
  <c r="K59" i="2" s="1"/>
  <c r="G59" i="2"/>
  <c r="I58" i="2"/>
  <c r="J58" i="2" s="1"/>
  <c r="K58" i="2" s="1"/>
  <c r="G58" i="2"/>
  <c r="F58" i="2"/>
  <c r="I57" i="2"/>
  <c r="J57" i="2" s="1"/>
  <c r="K57" i="2" s="1"/>
  <c r="G57" i="2"/>
  <c r="F57" i="2"/>
  <c r="J56" i="2"/>
  <c r="K56" i="2" s="1"/>
  <c r="I56" i="2"/>
  <c r="G56" i="2"/>
  <c r="F56" i="2"/>
  <c r="I54" i="2"/>
  <c r="J54" i="2" s="1"/>
  <c r="K54" i="2" s="1"/>
  <c r="G54" i="2"/>
  <c r="H53" i="2"/>
  <c r="I53" i="2" s="1"/>
  <c r="J53" i="2" s="1"/>
  <c r="K53" i="2" s="1"/>
  <c r="G53" i="2"/>
  <c r="G52" i="2"/>
  <c r="E52" i="2"/>
  <c r="I52" i="2" s="1"/>
  <c r="J52" i="2" s="1"/>
  <c r="K52" i="2" s="1"/>
  <c r="H51" i="2"/>
  <c r="I51" i="2" s="1"/>
  <c r="J51" i="2" s="1"/>
  <c r="K51" i="2" s="1"/>
  <c r="G51" i="2"/>
  <c r="G50" i="2"/>
  <c r="F50" i="2"/>
  <c r="E50" i="2"/>
  <c r="G49" i="2"/>
  <c r="F49" i="2"/>
  <c r="E49" i="2"/>
  <c r="I49" i="2" s="1"/>
  <c r="J49" i="2" s="1"/>
  <c r="K49" i="2" s="1"/>
  <c r="I48" i="2"/>
  <c r="J48" i="2" s="1"/>
  <c r="K48" i="2" s="1"/>
  <c r="G48" i="2"/>
  <c r="G45" i="2"/>
  <c r="B45" i="2"/>
  <c r="G44" i="2"/>
  <c r="B44" i="2"/>
  <c r="G43" i="2"/>
  <c r="B43" i="2"/>
  <c r="G42" i="2"/>
  <c r="B42" i="2"/>
  <c r="I41" i="2"/>
  <c r="J41" i="2" s="1"/>
  <c r="K41" i="2" s="1"/>
  <c r="G41" i="2"/>
  <c r="I40" i="2"/>
  <c r="J40" i="2" s="1"/>
  <c r="G40" i="2"/>
  <c r="I39" i="2"/>
  <c r="J39" i="2" s="1"/>
  <c r="G39" i="2"/>
  <c r="I38" i="2"/>
  <c r="J38" i="2" s="1"/>
  <c r="G38" i="2"/>
  <c r="I37" i="2"/>
  <c r="J37" i="2" s="1"/>
  <c r="G37" i="2"/>
  <c r="I36" i="2"/>
  <c r="J36" i="2" s="1"/>
  <c r="G36" i="2"/>
  <c r="I35" i="2"/>
  <c r="J35" i="2" s="1"/>
  <c r="G35" i="2"/>
  <c r="I34" i="2"/>
  <c r="J34" i="2" s="1"/>
  <c r="K34" i="2" s="1"/>
  <c r="G34" i="2"/>
  <c r="I33" i="2"/>
  <c r="J33" i="2" s="1"/>
  <c r="G33" i="2"/>
  <c r="G32" i="2"/>
  <c r="E32" i="2"/>
  <c r="I32" i="2" s="1"/>
  <c r="J32" i="2" s="1"/>
  <c r="I31" i="2"/>
  <c r="J31" i="2" s="1"/>
  <c r="G31" i="2"/>
  <c r="I30" i="2"/>
  <c r="J30" i="2" s="1"/>
  <c r="G30" i="2"/>
  <c r="I29" i="2"/>
  <c r="J29" i="2" s="1"/>
  <c r="G29" i="2"/>
  <c r="G28" i="2"/>
  <c r="E28" i="2"/>
  <c r="G27" i="2"/>
  <c r="G26" i="2"/>
  <c r="G25" i="2"/>
  <c r="E25" i="2"/>
  <c r="I25" i="2" s="1"/>
  <c r="J25" i="2" s="1"/>
  <c r="I24" i="2"/>
  <c r="J24" i="2" s="1"/>
  <c r="G24" i="2"/>
  <c r="I23" i="2"/>
  <c r="J23" i="2" s="1"/>
  <c r="G23" i="2"/>
  <c r="G22" i="2"/>
  <c r="E22" i="2"/>
  <c r="E26" i="2" s="1"/>
  <c r="G21" i="2"/>
  <c r="E21" i="2"/>
  <c r="I21" i="2" s="1"/>
  <c r="J21" i="2" s="1"/>
  <c r="G20" i="2"/>
  <c r="F20" i="2"/>
  <c r="G18" i="2"/>
  <c r="E18" i="2"/>
  <c r="I18" i="2" s="1"/>
  <c r="J18" i="2" s="1"/>
  <c r="K18" i="2" s="1"/>
  <c r="J17" i="2"/>
  <c r="K17" i="2" s="1"/>
  <c r="I17" i="2"/>
  <c r="G17" i="2"/>
  <c r="G16" i="2"/>
  <c r="E16" i="2"/>
  <c r="I16" i="2" s="1"/>
  <c r="C16" i="2"/>
  <c r="I15" i="2"/>
  <c r="G15" i="2"/>
  <c r="C15" i="2"/>
  <c r="I14" i="2"/>
  <c r="G14" i="2"/>
  <c r="C14" i="2"/>
  <c r="I13" i="2"/>
  <c r="G13" i="2"/>
  <c r="C13" i="2"/>
  <c r="B13" i="2"/>
  <c r="B14" i="2" s="1"/>
  <c r="I12" i="2"/>
  <c r="G12" i="2"/>
  <c r="C12" i="2"/>
  <c r="E11" i="2"/>
  <c r="I11" i="2" s="1"/>
  <c r="I10" i="2"/>
  <c r="J10" i="2" s="1"/>
  <c r="K10" i="2" s="1"/>
  <c r="G10" i="2"/>
  <c r="I9" i="2"/>
  <c r="G9" i="2"/>
  <c r="C9" i="2"/>
  <c r="G8" i="2"/>
  <c r="E8" i="2"/>
  <c r="I8" i="2" s="1"/>
  <c r="J8" i="2" s="1"/>
  <c r="K8" i="2" s="1"/>
  <c r="I7" i="2"/>
  <c r="J7" i="2" s="1"/>
  <c r="K7" i="2" s="1"/>
  <c r="G7" i="2"/>
  <c r="I6" i="2"/>
  <c r="J6" i="2" s="1"/>
  <c r="K6" i="2" s="1"/>
  <c r="G6" i="2"/>
  <c r="N3" i="2"/>
  <c r="O3" i="2" s="1"/>
  <c r="P3" i="2" s="1"/>
  <c r="Q3" i="2" s="1"/>
  <c r="R3" i="2" s="1"/>
  <c r="S3" i="2" s="1"/>
  <c r="J12" i="2" l="1"/>
  <c r="E27" i="2"/>
  <c r="I27" i="2" s="1"/>
  <c r="J27" i="2" s="1"/>
  <c r="K27" i="2" s="1"/>
  <c r="J63" i="2"/>
  <c r="K63" i="2" s="1"/>
  <c r="J16" i="2"/>
  <c r="K16" i="2" s="1"/>
  <c r="I26" i="2"/>
  <c r="J26" i="2" s="1"/>
  <c r="E20" i="2"/>
  <c r="I20" i="2" s="1"/>
  <c r="J20" i="2" s="1"/>
  <c r="K20" i="2" s="1"/>
  <c r="J14" i="2"/>
  <c r="I22" i="2"/>
  <c r="J22" i="2" s="1"/>
  <c r="J77" i="2"/>
  <c r="H50" i="2"/>
  <c r="I50" i="2"/>
  <c r="J50" i="2" s="1"/>
  <c r="K50" i="2" s="1"/>
  <c r="J9" i="2"/>
  <c r="J13" i="2"/>
  <c r="J14" i="4"/>
  <c r="J7" i="4"/>
  <c r="K7" i="4" s="1"/>
  <c r="J11" i="4"/>
  <c r="K11" i="4" s="1"/>
  <c r="J15" i="4"/>
  <c r="J16" i="4"/>
  <c r="F11" i="4"/>
  <c r="I11" i="4" s="1"/>
  <c r="J12" i="4"/>
  <c r="K12" i="4" s="1"/>
  <c r="F12" i="4"/>
  <c r="I12" i="4" s="1"/>
  <c r="I28" i="2"/>
  <c r="J28" i="2" s="1"/>
  <c r="F28" i="2"/>
  <c r="F27" i="2" s="1"/>
  <c r="B15" i="2"/>
  <c r="J15" i="2" s="1"/>
  <c r="B11" i="2" l="1"/>
  <c r="J11" i="2" s="1"/>
  <c r="K11" i="2" s="1"/>
</calcChain>
</file>

<file path=xl/sharedStrings.xml><?xml version="1.0" encoding="utf-8"?>
<sst xmlns="http://schemas.openxmlformats.org/spreadsheetml/2006/main" count="337" uniqueCount="137">
  <si>
    <t>OPD (G+3)</t>
  </si>
  <si>
    <t>Target Date</t>
  </si>
  <si>
    <t>Brickwork (Shaft Only)</t>
  </si>
  <si>
    <t>FLOOR</t>
  </si>
  <si>
    <t>TARGET DATE</t>
  </si>
  <si>
    <t>Plastering</t>
  </si>
  <si>
    <t>GF</t>
  </si>
  <si>
    <t>Doors &amp; Windows</t>
  </si>
  <si>
    <t>FF</t>
  </si>
  <si>
    <t>Flooring &amp; Cladding</t>
  </si>
  <si>
    <t xml:space="preserve">SF </t>
  </si>
  <si>
    <t>False Ceiling</t>
  </si>
  <si>
    <t>TF</t>
  </si>
  <si>
    <t>Toilets</t>
  </si>
  <si>
    <t>Lift works</t>
  </si>
  <si>
    <t>External Finishes</t>
  </si>
  <si>
    <t>Interior works &amp; SS Handrail</t>
  </si>
  <si>
    <t>Power ON</t>
  </si>
  <si>
    <t>HVAC Works</t>
  </si>
  <si>
    <t>OPD BUILDING</t>
  </si>
  <si>
    <t>ACTIVITY</t>
  </si>
  <si>
    <t>PLAN / ACTUAL START</t>
  </si>
  <si>
    <t>UOM</t>
  </si>
  <si>
    <t>Scope</t>
  </si>
  <si>
    <t xml:space="preserve">Achieved till 20th Sep. </t>
  </si>
  <si>
    <t>Achieved as on 29'sep</t>
  </si>
  <si>
    <t>Achieved as on 3rd Oct</t>
  </si>
  <si>
    <t>Balance</t>
  </si>
  <si>
    <t>Asking Rate</t>
  </si>
  <si>
    <t>No. of workmen Needed</t>
  </si>
  <si>
    <t>No. of workmen available</t>
  </si>
  <si>
    <t>Structure</t>
  </si>
  <si>
    <t>Finishes</t>
  </si>
  <si>
    <t>Brickwork</t>
  </si>
  <si>
    <t>cum</t>
  </si>
  <si>
    <t>Internal Plaster</t>
  </si>
  <si>
    <t>sqm</t>
  </si>
  <si>
    <t>Joineries</t>
  </si>
  <si>
    <t>No.</t>
  </si>
  <si>
    <t>Fire door frame &amp; shutter</t>
  </si>
  <si>
    <t>Flooring &amp; Dado</t>
  </si>
  <si>
    <t>a) Ground Floor</t>
  </si>
  <si>
    <t>b) First Floor</t>
  </si>
  <si>
    <t>c) Second Floor</t>
  </si>
  <si>
    <t>d) Third Floor</t>
  </si>
  <si>
    <t>Lift facia granite</t>
  </si>
  <si>
    <t>Interior Works</t>
  </si>
  <si>
    <t>SS Handrail</t>
  </si>
  <si>
    <t>Rm</t>
  </si>
  <si>
    <t>External</t>
  </si>
  <si>
    <t>Elevation A</t>
  </si>
  <si>
    <t>Plaster</t>
  </si>
  <si>
    <t>MS framing</t>
  </si>
  <si>
    <t>Stone Cladding</t>
  </si>
  <si>
    <t>Glazing</t>
  </si>
  <si>
    <t>Paint</t>
  </si>
  <si>
    <t>Elevation B</t>
  </si>
  <si>
    <t>Elevation C</t>
  </si>
  <si>
    <t>Elevation D</t>
  </si>
  <si>
    <t>Mechanical Electrical Plumbing ( MEP)</t>
  </si>
  <si>
    <t>First Fixtures</t>
  </si>
  <si>
    <t>Cable Tray Installation</t>
  </si>
  <si>
    <t>CI/Gi Piping</t>
  </si>
  <si>
    <t>Ducting &amp; Insulation</t>
  </si>
  <si>
    <t>Fire Piping installation</t>
  </si>
  <si>
    <t>MGPS Copper Piping</t>
  </si>
  <si>
    <t>PTTS Pipe installation</t>
  </si>
  <si>
    <t>Under deck Insulation</t>
  </si>
  <si>
    <t>Second Fix</t>
  </si>
  <si>
    <t>Wiring</t>
  </si>
  <si>
    <t>Cable Laying &amp; Panel Instt.</t>
  </si>
  <si>
    <t>UPS Installation</t>
  </si>
  <si>
    <t>Dropper Installation</t>
  </si>
  <si>
    <t>HVAC Pipe Testing</t>
  </si>
  <si>
    <t>AHU Connection</t>
  </si>
  <si>
    <t>-</t>
  </si>
  <si>
    <t>Wet Riser &amp; FHC installation</t>
  </si>
  <si>
    <t>CAT 6 cabling</t>
  </si>
  <si>
    <t>PA &amp; FAS cabling</t>
  </si>
  <si>
    <t>Fire Panel Installation</t>
  </si>
  <si>
    <t xml:space="preserve">Network Switch </t>
  </si>
  <si>
    <t xml:space="preserve">Final Fixture </t>
  </si>
  <si>
    <t>lot</t>
  </si>
  <si>
    <t>Terrace</t>
  </si>
  <si>
    <t>PHE Piping installation</t>
  </si>
  <si>
    <t>rm</t>
  </si>
  <si>
    <t>Solar Panel Installation</t>
  </si>
  <si>
    <t>Over Head Tank</t>
  </si>
  <si>
    <t>Terrace Waterproofing</t>
  </si>
  <si>
    <t>Truss with Polycarbonate Sheet</t>
  </si>
  <si>
    <t>Lift Installation with slow speed</t>
  </si>
  <si>
    <t xml:space="preserve">2 No.s </t>
  </si>
  <si>
    <t>3 No.s</t>
  </si>
  <si>
    <t xml:space="preserve">1 No. </t>
  </si>
  <si>
    <t>Permanent Power</t>
  </si>
  <si>
    <t>ESS1 to OPD Cable Laying</t>
  </si>
  <si>
    <t>Main LT Panel Energisation</t>
  </si>
  <si>
    <t>Rising Main</t>
  </si>
  <si>
    <t>Testing with Permanent Power / Completion</t>
  </si>
  <si>
    <t xml:space="preserve">Lift </t>
  </si>
  <si>
    <t>IT/Data Services</t>
  </si>
  <si>
    <t>Fire Control System</t>
  </si>
  <si>
    <t>HVAC System</t>
  </si>
  <si>
    <t>EMR (G+3)</t>
  </si>
  <si>
    <t>Lift Works</t>
  </si>
  <si>
    <t>CSSD</t>
  </si>
  <si>
    <t>OT Works / ICU</t>
  </si>
  <si>
    <t>EMERGENCY BUILDING</t>
  </si>
  <si>
    <t>SCOPE</t>
  </si>
  <si>
    <t>Achieved</t>
  </si>
  <si>
    <t>Achieved as on 29-sep</t>
  </si>
  <si>
    <t>Achieved as on 3-Oct</t>
  </si>
  <si>
    <t>Balance as on 3-oct</t>
  </si>
  <si>
    <t>Manpower Needed</t>
  </si>
  <si>
    <t>Manpower Available</t>
  </si>
  <si>
    <t>CUM</t>
  </si>
  <si>
    <t xml:space="preserve">Lift lobby </t>
  </si>
  <si>
    <t>OT Rooms</t>
  </si>
  <si>
    <t>Ground Floor ( 2 Nos.)</t>
  </si>
  <si>
    <t>Civil Work</t>
  </si>
  <si>
    <t>OT Works</t>
  </si>
  <si>
    <t>2nd Floor (2 Nos.)</t>
  </si>
  <si>
    <t>3rd Floor (12 Nos.)</t>
  </si>
  <si>
    <t>CSSD Room</t>
  </si>
  <si>
    <t>Service Oriented Work</t>
  </si>
  <si>
    <t>Above Terrace</t>
  </si>
  <si>
    <t>Staircase - Head Room</t>
  </si>
  <si>
    <t>Truss &amp; Polycarbonate Sheet</t>
  </si>
  <si>
    <t xml:space="preserve">External  </t>
  </si>
  <si>
    <t>Fascia Beam</t>
  </si>
  <si>
    <t>CI/GI Piping</t>
  </si>
  <si>
    <t>Final Fixture</t>
  </si>
  <si>
    <t>OHT</t>
  </si>
  <si>
    <t>2 Nos.</t>
  </si>
  <si>
    <t>1 Nos.</t>
  </si>
  <si>
    <t>2 Nos. (Dumb waiter)</t>
  </si>
  <si>
    <t>ESS1 to EMR Cable laying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</si>
</sst>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d\-mmm\-yy;@"/>
    <numFmt numFmtId="165" formatCode="[$-409]d\-mmm;@"/>
    <numFmt numFmtId="166" formatCode="[$-409]d/mmm/yy;@"/>
    <numFmt numFmtId="167" formatCode="[$-14009]d/m/yy;@"/>
    <numFmt numFmtId="168" formatCode="[$-14009]dd/mm/yy;@"/>
    <numFmt numFmtId="169" formatCode="0.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4"/>
      <color rgb="FFFFFFFF"/>
      <name val="Trebuchet MS"/>
      <family val="2"/>
    </font>
    <font>
      <sz val="14"/>
      <color rgb="FF000000"/>
      <name val="Trebuchet MS"/>
      <family val="2"/>
    </font>
    <font>
      <sz val="14"/>
      <color rgb="FFFF0000"/>
      <name val="Trebuchet MS"/>
      <family val="2"/>
    </font>
    <font>
      <b/>
      <sz val="42"/>
      <color theme="7"/>
      <name val="Aptos Display"/>
      <family val="2"/>
      <scheme val="major"/>
    </font>
    <font>
      <b/>
      <sz val="24"/>
      <color theme="7"/>
      <name val="Aptos Display"/>
      <family val="2"/>
      <scheme val="major"/>
    </font>
    <font>
      <sz val="14"/>
      <color theme="1" tint="0.24994659260841701"/>
      <name val="Aptos Narrow"/>
      <family val="2"/>
      <scheme val="minor"/>
    </font>
    <font>
      <sz val="12"/>
      <color theme="1" tint="0.24994659260841701"/>
      <name val="Amasis MT Pro Medium"/>
      <family val="1"/>
    </font>
    <font>
      <b/>
      <sz val="11"/>
      <color theme="1" tint="0.34998626667073579"/>
      <name val="Aptos Narrow"/>
      <family val="2"/>
      <scheme val="minor"/>
    </font>
    <font>
      <b/>
      <sz val="12"/>
      <color theme="1" tint="0.34998626667073579"/>
      <name val="Amasis MT Pro Medium"/>
      <family val="1"/>
    </font>
    <font>
      <b/>
      <sz val="13"/>
      <color theme="1" tint="0.24994659260841701"/>
      <name val="Aptos Display"/>
      <family val="2"/>
      <scheme val="major"/>
    </font>
    <font>
      <b/>
      <sz val="18"/>
      <color theme="1" tint="0.24994659260841701"/>
      <name val="Times New Roman"/>
      <family val="1"/>
    </font>
    <font>
      <sz val="18"/>
      <color theme="1" tint="0.24994659260841701"/>
      <name val="Times New Roman"/>
      <family val="1"/>
    </font>
    <font>
      <b/>
      <sz val="14"/>
      <color theme="1" tint="0.24994659260841701"/>
      <name val="Calibri"/>
      <family val="2"/>
    </font>
    <font>
      <sz val="14"/>
      <color theme="1" tint="0.24994659260841701"/>
      <name val="Calibri"/>
      <family val="2"/>
    </font>
    <font>
      <b/>
      <sz val="14"/>
      <color theme="1" tint="0.24994659260841701"/>
      <name val="Times New Roman"/>
      <family val="1"/>
    </font>
    <font>
      <sz val="14"/>
      <color theme="1" tint="0.24994659260841701"/>
      <name val="Times New Roman"/>
      <family val="1"/>
    </font>
    <font>
      <i/>
      <sz val="12"/>
      <color theme="7"/>
      <name val="Amasis MT Pro Medium"/>
      <family val="1"/>
    </font>
  </fonts>
  <fills count="9">
    <fill>
      <patternFill patternType="none"/>
    </fill>
    <fill>
      <patternFill patternType="gray125"/>
    </fill>
    <fill>
      <patternFill patternType="solid">
        <fgColor rgb="FF003F72"/>
        <bgColor indexed="64"/>
      </patternFill>
    </fill>
    <fill>
      <patternFill patternType="solid">
        <fgColor rgb="FFE7F3F4"/>
        <bgColor indexed="64"/>
      </patternFill>
    </fill>
    <fill>
      <patternFill patternType="solid">
        <fgColor rgb="FFF3F9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12" fillId="0" borderId="0" applyNumberFormat="0" applyFill="0" applyBorder="0" applyProtection="0">
      <alignment horizontal="left" vertical="center"/>
    </xf>
    <xf numFmtId="3" fontId="14" fillId="0" borderId="14" applyFill="0" applyProtection="0">
      <alignment horizontal="center"/>
    </xf>
    <xf numFmtId="0" fontId="16" fillId="0" borderId="0" applyFill="0" applyBorder="0" applyProtection="0">
      <alignment horizontal="left" wrapText="1"/>
    </xf>
  </cellStyleXfs>
  <cellXfs count="108">
    <xf numFmtId="0" fontId="0" fillId="0" borderId="0" xfId="0"/>
    <xf numFmtId="0" fontId="1" fillId="0" borderId="0" xfId="7"/>
    <xf numFmtId="0" fontId="8" fillId="3" borderId="5" xfId="7" applyFont="1" applyFill="1" applyBorder="1" applyAlignment="1">
      <alignment horizontal="left" vertical="center" readingOrder="1"/>
    </xf>
    <xf numFmtId="14" fontId="8" fillId="3" borderId="5" xfId="7" applyNumberFormat="1" applyFont="1" applyFill="1" applyBorder="1" applyAlignment="1">
      <alignment horizontal="center" vertical="center" readingOrder="1"/>
    </xf>
    <xf numFmtId="0" fontId="9" fillId="4" borderId="5" xfId="7" applyFont="1" applyFill="1" applyBorder="1" applyAlignment="1">
      <alignment horizontal="center" vertical="center" readingOrder="1"/>
    </xf>
    <xf numFmtId="14" fontId="9" fillId="3" borderId="5" xfId="7" applyNumberFormat="1" applyFont="1" applyFill="1" applyBorder="1" applyAlignment="1">
      <alignment horizontal="center" vertical="center" readingOrder="1"/>
    </xf>
    <xf numFmtId="0" fontId="8" fillId="4" borderId="5" xfId="7" applyFont="1" applyFill="1" applyBorder="1" applyAlignment="1">
      <alignment horizontal="left" vertical="center" readingOrder="1"/>
    </xf>
    <xf numFmtId="14" fontId="8" fillId="4" borderId="5" xfId="7" applyNumberFormat="1" applyFont="1" applyFill="1" applyBorder="1" applyAlignment="1">
      <alignment horizontal="center" vertical="center" readingOrder="1"/>
    </xf>
    <xf numFmtId="0" fontId="8" fillId="4" borderId="5" xfId="7" applyFont="1" applyFill="1" applyBorder="1" applyAlignment="1">
      <alignment horizontal="center" vertical="center" readingOrder="1"/>
    </xf>
    <xf numFmtId="0" fontId="8" fillId="4" borderId="6" xfId="7" applyFont="1" applyFill="1" applyBorder="1" applyAlignment="1">
      <alignment horizontal="center" vertical="center" readingOrder="1"/>
    </xf>
    <xf numFmtId="0" fontId="8" fillId="4" borderId="7" xfId="7" applyFont="1" applyFill="1" applyBorder="1" applyAlignment="1">
      <alignment horizontal="center" vertical="center" readingOrder="1"/>
    </xf>
    <xf numFmtId="0" fontId="8" fillId="0" borderId="0" xfId="7" applyFont="1" applyAlignment="1">
      <alignment horizontal="left" vertical="center" readingOrder="1"/>
    </xf>
    <xf numFmtId="0" fontId="11" fillId="0" borderId="8" xfId="2" applyFont="1" applyBorder="1" applyAlignment="1">
      <alignment horizontal="centerContinuous" vertical="center"/>
    </xf>
    <xf numFmtId="164" fontId="3" fillId="0" borderId="9" xfId="3" applyNumberFormat="1" applyBorder="1" applyAlignment="1">
      <alignment horizontal="centerContinuous" vertical="center"/>
    </xf>
    <xf numFmtId="0" fontId="3" fillId="0" borderId="9" xfId="3" applyBorder="1" applyAlignment="1">
      <alignment horizontal="centerContinuous" vertical="center"/>
    </xf>
    <xf numFmtId="1" fontId="3" fillId="0" borderId="9" xfId="3" applyNumberFormat="1" applyBorder="1" applyAlignment="1">
      <alignment horizontal="centerContinuous" vertical="center"/>
    </xf>
    <xf numFmtId="9" fontId="10" fillId="0" borderId="9" xfId="1" applyFont="1" applyBorder="1" applyAlignment="1">
      <alignment horizontal="centerContinuous" vertical="center"/>
    </xf>
    <xf numFmtId="0" fontId="0" fillId="0" borderId="9" xfId="0" applyBorder="1" applyAlignment="1">
      <alignment horizontal="centerContinuous"/>
    </xf>
    <xf numFmtId="0" fontId="13" fillId="0" borderId="9" xfId="8" applyFont="1" applyBorder="1" applyAlignment="1">
      <alignment vertical="center"/>
    </xf>
    <xf numFmtId="0" fontId="13" fillId="0" borderId="10" xfId="8" applyFont="1" applyBorder="1" applyAlignment="1">
      <alignment vertical="center"/>
    </xf>
    <xf numFmtId="0" fontId="13" fillId="0" borderId="0" xfId="8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3" fillId="0" borderId="12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17" fontId="15" fillId="0" borderId="15" xfId="9" applyNumberFormat="1" applyFont="1" applyBorder="1" applyAlignment="1">
      <alignment horizontal="center" vertical="center"/>
    </xf>
    <xf numFmtId="165" fontId="15" fillId="0" borderId="15" xfId="9" applyNumberFormat="1" applyFont="1" applyBorder="1" applyAlignment="1">
      <alignment horizontal="center" vertical="center"/>
    </xf>
    <xf numFmtId="0" fontId="17" fillId="0" borderId="8" xfId="10" applyFont="1" applyFill="1" applyBorder="1" applyAlignment="1">
      <alignment horizontal="left" vertical="center" wrapText="1"/>
    </xf>
    <xf numFmtId="164" fontId="18" fillId="0" borderId="10" xfId="0" applyNumberFormat="1" applyFont="1" applyBorder="1" applyAlignment="1">
      <alignment horizontal="centerContinuous" vertical="center"/>
    </xf>
    <xf numFmtId="16" fontId="18" fillId="0" borderId="9" xfId="0" applyNumberFormat="1" applyFont="1" applyBorder="1" applyAlignment="1">
      <alignment horizontal="centerContinuous" vertical="center"/>
    </xf>
    <xf numFmtId="1" fontId="18" fillId="0" borderId="9" xfId="0" applyNumberFormat="1" applyFont="1" applyBorder="1" applyAlignment="1">
      <alignment horizontal="centerContinuous" vertical="center"/>
    </xf>
    <xf numFmtId="9" fontId="18" fillId="0" borderId="9" xfId="1" applyFont="1" applyFill="1" applyBorder="1" applyAlignment="1">
      <alignment horizontal="centerContinuous" vertic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17" fillId="6" borderId="0" xfId="10" applyFont="1" applyFill="1" applyAlignment="1">
      <alignment horizontal="centerContinuous" vertical="center" wrapText="1"/>
    </xf>
    <xf numFmtId="164" fontId="18" fillId="6" borderId="0" xfId="0" applyNumberFormat="1" applyFont="1" applyFill="1" applyAlignment="1">
      <alignment horizontal="centerContinuous" vertical="center"/>
    </xf>
    <xf numFmtId="0" fontId="18" fillId="6" borderId="0" xfId="0" applyFont="1" applyFill="1" applyAlignment="1">
      <alignment horizontal="centerContinuous" vertical="center"/>
    </xf>
    <xf numFmtId="1" fontId="18" fillId="6" borderId="0" xfId="0" applyNumberFormat="1" applyFont="1" applyFill="1" applyAlignment="1">
      <alignment horizontal="centerContinuous" vertical="center"/>
    </xf>
    <xf numFmtId="9" fontId="18" fillId="6" borderId="0" xfId="1" applyFont="1" applyFill="1" applyAlignment="1">
      <alignment horizontal="centerContinuous" vertical="center"/>
    </xf>
    <xf numFmtId="0" fontId="19" fillId="0" borderId="16" xfId="10" applyFont="1" applyBorder="1" applyAlignment="1">
      <alignment horizontal="left" vertical="center" wrapText="1"/>
    </xf>
    <xf numFmtId="164" fontId="20" fillId="0" borderId="16" xfId="0" applyNumberFormat="1" applyFont="1" applyBorder="1" applyAlignment="1">
      <alignment horizontal="center" vertical="center"/>
    </xf>
    <xf numFmtId="166" fontId="20" fillId="0" borderId="16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9" fontId="20" fillId="0" borderId="16" xfId="1" applyFont="1" applyBorder="1" applyAlignment="1">
      <alignment horizontal="center" vertical="center"/>
    </xf>
    <xf numFmtId="0" fontId="19" fillId="0" borderId="16" xfId="10" applyFont="1" applyFill="1" applyBorder="1" applyAlignment="1">
      <alignment horizontal="left" vertical="center" wrapText="1"/>
    </xf>
    <xf numFmtId="9" fontId="20" fillId="0" borderId="16" xfId="1" applyFont="1" applyFill="1" applyBorder="1" applyAlignment="1">
      <alignment horizontal="center" vertical="center"/>
    </xf>
    <xf numFmtId="0" fontId="21" fillId="6" borderId="16" xfId="10" applyFont="1" applyFill="1" applyBorder="1" applyAlignment="1">
      <alignment horizontal="centerContinuous" vertical="center" wrapText="1"/>
    </xf>
    <xf numFmtId="164" fontId="22" fillId="6" borderId="16" xfId="0" applyNumberFormat="1" applyFont="1" applyFill="1" applyBorder="1" applyAlignment="1">
      <alignment horizontal="centerContinuous" vertical="center"/>
    </xf>
    <xf numFmtId="0" fontId="22" fillId="6" borderId="16" xfId="0" applyFont="1" applyFill="1" applyBorder="1" applyAlignment="1">
      <alignment horizontal="centerContinuous" vertical="center"/>
    </xf>
    <xf numFmtId="1" fontId="22" fillId="6" borderId="16" xfId="0" applyNumberFormat="1" applyFont="1" applyFill="1" applyBorder="1" applyAlignment="1">
      <alignment horizontal="centerContinuous" vertical="center"/>
    </xf>
    <xf numFmtId="9" fontId="22" fillId="6" borderId="16" xfId="1" applyFont="1" applyFill="1" applyBorder="1" applyAlignment="1">
      <alignment horizontal="centerContinuous" vertical="center"/>
    </xf>
    <xf numFmtId="1" fontId="20" fillId="0" borderId="16" xfId="1" applyNumberFormat="1" applyFont="1" applyBorder="1" applyAlignment="1">
      <alignment horizontal="center" vertical="center"/>
    </xf>
    <xf numFmtId="0" fontId="19" fillId="0" borderId="16" xfId="10" applyFont="1" applyBorder="1" applyAlignment="1">
      <alignment horizontal="right" vertical="center" wrapText="1"/>
    </xf>
    <xf numFmtId="165" fontId="20" fillId="0" borderId="16" xfId="0" applyNumberFormat="1" applyFont="1" applyBorder="1" applyAlignment="1">
      <alignment horizontal="center" vertical="center"/>
    </xf>
    <xf numFmtId="167" fontId="20" fillId="0" borderId="16" xfId="0" applyNumberFormat="1" applyFont="1" applyBorder="1" applyAlignment="1">
      <alignment horizontal="center" vertical="center"/>
    </xf>
    <xf numFmtId="0" fontId="21" fillId="6" borderId="16" xfId="10" applyFont="1" applyFill="1" applyBorder="1" applyAlignment="1">
      <alignment horizontal="left" vertical="center" wrapText="1"/>
    </xf>
    <xf numFmtId="164" fontId="22" fillId="6" borderId="16" xfId="0" applyNumberFormat="1" applyFont="1" applyFill="1" applyBorder="1" applyAlignment="1">
      <alignment horizontal="center" vertical="center"/>
    </xf>
    <xf numFmtId="168" fontId="22" fillId="6" borderId="16" xfId="0" applyNumberFormat="1" applyFont="1" applyFill="1" applyBorder="1" applyAlignment="1">
      <alignment horizontal="center" vertical="center"/>
    </xf>
    <xf numFmtId="1" fontId="22" fillId="6" borderId="16" xfId="0" applyNumberFormat="1" applyFont="1" applyFill="1" applyBorder="1" applyAlignment="1">
      <alignment horizontal="center" vertical="center"/>
    </xf>
    <xf numFmtId="2" fontId="22" fillId="6" borderId="16" xfId="0" applyNumberFormat="1" applyFont="1" applyFill="1" applyBorder="1" applyAlignment="1">
      <alignment horizontal="center" vertical="center"/>
    </xf>
    <xf numFmtId="169" fontId="22" fillId="6" borderId="16" xfId="1" applyNumberFormat="1" applyFont="1" applyFill="1" applyBorder="1" applyAlignment="1">
      <alignment horizontal="center" vertical="center"/>
    </xf>
    <xf numFmtId="9" fontId="22" fillId="6" borderId="16" xfId="1" applyFont="1" applyFill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1" fontId="18" fillId="6" borderId="0" xfId="0" applyNumberFormat="1" applyFont="1" applyFill="1" applyAlignment="1">
      <alignment horizontal="center" vertical="center"/>
    </xf>
    <xf numFmtId="9" fontId="18" fillId="6" borderId="0" xfId="1" applyFont="1" applyFill="1" applyAlignment="1">
      <alignment horizontal="center" vertical="center"/>
    </xf>
    <xf numFmtId="0" fontId="19" fillId="0" borderId="16" xfId="10" applyFont="1" applyBorder="1" applyAlignment="1">
      <alignment horizontal="center" vertical="center" wrapText="1"/>
    </xf>
    <xf numFmtId="0" fontId="16" fillId="0" borderId="0" xfId="10">
      <alignment horizontal="left" wrapText="1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3" fillId="0" borderId="9" xfId="3" applyBorder="1" applyAlignment="1">
      <alignment horizontal="centerContinuous"/>
    </xf>
    <xf numFmtId="16" fontId="23" fillId="0" borderId="0" xfId="6" applyNumberFormat="1" applyFont="1" applyBorder="1" applyAlignment="1">
      <alignment vertical="center"/>
    </xf>
    <xf numFmtId="0" fontId="23" fillId="0" borderId="0" xfId="6" applyFont="1" applyBorder="1" applyAlignment="1">
      <alignment vertical="center"/>
    </xf>
    <xf numFmtId="1" fontId="23" fillId="0" borderId="0" xfId="6" applyNumberFormat="1" applyFont="1" applyBorder="1" applyAlignment="1">
      <alignment vertical="center"/>
    </xf>
    <xf numFmtId="9" fontId="23" fillId="0" borderId="0" xfId="1" applyFont="1" applyBorder="1" applyAlignment="1">
      <alignment vertical="center"/>
    </xf>
    <xf numFmtId="0" fontId="17" fillId="6" borderId="11" xfId="10" applyFont="1" applyFill="1" applyBorder="1" applyAlignment="1">
      <alignment horizontal="centerContinuous" vertical="center" wrapText="1"/>
    </xf>
    <xf numFmtId="0" fontId="18" fillId="6" borderId="11" xfId="0" applyFont="1" applyFill="1" applyBorder="1" applyAlignment="1">
      <alignment horizontal="centerContinuous" vertical="center"/>
    </xf>
    <xf numFmtId="16" fontId="18" fillId="6" borderId="19" xfId="0" applyNumberFormat="1" applyFont="1" applyFill="1" applyBorder="1" applyAlignment="1">
      <alignment horizontal="centerContinuous" vertical="center"/>
    </xf>
    <xf numFmtId="1" fontId="18" fillId="6" borderId="19" xfId="0" applyNumberFormat="1" applyFont="1" applyFill="1" applyBorder="1" applyAlignment="1">
      <alignment horizontal="centerContinuous" vertical="center"/>
    </xf>
    <xf numFmtId="9" fontId="18" fillId="6" borderId="19" xfId="1" applyFont="1" applyFill="1" applyBorder="1" applyAlignment="1">
      <alignment horizontal="centerContinuous" vertical="center"/>
    </xf>
    <xf numFmtId="3" fontId="14" fillId="5" borderId="8" xfId="9" applyFill="1" applyBorder="1">
      <alignment horizontal="center"/>
    </xf>
    <xf numFmtId="3" fontId="14" fillId="5" borderId="9" xfId="9" applyFill="1" applyBorder="1">
      <alignment horizontal="center"/>
    </xf>
    <xf numFmtId="3" fontId="14" fillId="0" borderId="20" xfId="9" applyBorder="1">
      <alignment horizontal="center"/>
    </xf>
    <xf numFmtId="0" fontId="17" fillId="6" borderId="16" xfId="10" applyFont="1" applyFill="1" applyBorder="1" applyAlignment="1">
      <alignment horizontal="centerContinuous" vertical="center" wrapText="1"/>
    </xf>
    <xf numFmtId="0" fontId="18" fillId="6" borderId="16" xfId="0" applyFont="1" applyFill="1" applyBorder="1" applyAlignment="1">
      <alignment horizontal="centerContinuous" vertical="center"/>
    </xf>
    <xf numFmtId="1" fontId="18" fillId="6" borderId="16" xfId="0" applyNumberFormat="1" applyFont="1" applyFill="1" applyBorder="1" applyAlignment="1">
      <alignment horizontal="centerContinuous" vertical="center"/>
    </xf>
    <xf numFmtId="9" fontId="18" fillId="6" borderId="16" xfId="1" applyFont="1" applyFill="1" applyBorder="1" applyAlignment="1">
      <alignment horizontal="centerContinuous" vertical="center"/>
    </xf>
    <xf numFmtId="0" fontId="20" fillId="0" borderId="16" xfId="10" applyFont="1" applyBorder="1" applyAlignment="1">
      <alignment horizontal="left" vertical="center" wrapText="1"/>
    </xf>
    <xf numFmtId="1" fontId="20" fillId="7" borderId="16" xfId="0" applyNumberFormat="1" applyFont="1" applyFill="1" applyBorder="1" applyAlignment="1">
      <alignment horizontal="center" vertical="center"/>
    </xf>
    <xf numFmtId="0" fontId="21" fillId="8" borderId="16" xfId="10" applyFont="1" applyFill="1" applyBorder="1" applyAlignment="1">
      <alignment horizontal="left" vertical="center" wrapText="1"/>
    </xf>
    <xf numFmtId="167" fontId="22" fillId="8" borderId="16" xfId="0" applyNumberFormat="1" applyFont="1" applyFill="1" applyBorder="1" applyAlignment="1">
      <alignment horizontal="centerContinuous" vertical="center"/>
    </xf>
    <xf numFmtId="167" fontId="22" fillId="8" borderId="16" xfId="0" applyNumberFormat="1" applyFont="1" applyFill="1" applyBorder="1" applyAlignment="1">
      <alignment horizontal="left" vertical="center"/>
    </xf>
    <xf numFmtId="1" fontId="22" fillId="8" borderId="16" xfId="0" applyNumberFormat="1" applyFont="1" applyFill="1" applyBorder="1" applyAlignment="1">
      <alignment horizontal="left" vertical="center"/>
    </xf>
    <xf numFmtId="9" fontId="22" fillId="8" borderId="16" xfId="1" applyFont="1" applyFill="1" applyBorder="1" applyAlignment="1">
      <alignment horizontal="center" vertical="center"/>
    </xf>
    <xf numFmtId="9" fontId="22" fillId="8" borderId="16" xfId="1" applyFont="1" applyFill="1" applyBorder="1" applyAlignment="1">
      <alignment horizontal="left" vertical="center"/>
    </xf>
    <xf numFmtId="1" fontId="15" fillId="0" borderId="7" xfId="5" applyNumberFormat="1" applyFont="1" applyBorder="1" applyAlignment="1">
      <alignment horizontal="center" vertical="center" wrapText="1"/>
    </xf>
    <xf numFmtId="0" fontId="15" fillId="0" borderId="7" xfId="4" applyFont="1" applyBorder="1" applyAlignment="1">
      <alignment vertical="center"/>
    </xf>
    <xf numFmtId="0" fontId="15" fillId="0" borderId="7" xfId="5" applyFont="1" applyBorder="1" applyAlignment="1">
      <alignment horizontal="center" vertical="center" wrapText="1"/>
    </xf>
    <xf numFmtId="1" fontId="15" fillId="0" borderId="11" xfId="5" applyNumberFormat="1" applyFont="1" applyBorder="1" applyAlignment="1">
      <alignment horizontal="center" vertical="center" wrapText="1"/>
    </xf>
    <xf numFmtId="1" fontId="15" fillId="0" borderId="13" xfId="5" applyNumberFormat="1" applyFont="1" applyBorder="1" applyAlignment="1">
      <alignment horizontal="center" vertical="center" wrapText="1"/>
    </xf>
    <xf numFmtId="9" fontId="15" fillId="0" borderId="7" xfId="1" applyFont="1" applyBorder="1" applyAlignment="1">
      <alignment horizontal="center" vertical="center" wrapText="1"/>
    </xf>
    <xf numFmtId="0" fontId="7" fillId="2" borderId="0" xfId="7" applyFont="1" applyFill="1" applyAlignment="1">
      <alignment horizontal="center" vertical="center" readingOrder="1"/>
    </xf>
    <xf numFmtId="0" fontId="7" fillId="2" borderId="4" xfId="7" applyFont="1" applyFill="1" applyBorder="1" applyAlignment="1">
      <alignment horizontal="center" vertical="center" readingOrder="1"/>
    </xf>
    <xf numFmtId="164" fontId="15" fillId="0" borderId="7" xfId="5" applyNumberFormat="1" applyFont="1" applyBorder="1" applyAlignment="1">
      <alignment horizontal="center" vertical="center" wrapText="1"/>
    </xf>
    <xf numFmtId="164" fontId="15" fillId="0" borderId="11" xfId="5" applyNumberFormat="1" applyFont="1" applyBorder="1" applyAlignment="1">
      <alignment horizontal="center" vertical="center" wrapText="1"/>
    </xf>
    <xf numFmtId="0" fontId="15" fillId="0" borderId="11" xfId="5" applyFont="1" applyBorder="1" applyAlignment="1">
      <alignment horizontal="center" vertical="center" wrapText="1"/>
    </xf>
    <xf numFmtId="9" fontId="15" fillId="0" borderId="11" xfId="1" applyFont="1" applyBorder="1" applyAlignment="1">
      <alignment horizontal="center" vertical="center" wrapText="1"/>
    </xf>
    <xf numFmtId="0" fontId="7" fillId="2" borderId="17" xfId="7" applyFont="1" applyFill="1" applyBorder="1" applyAlignment="1">
      <alignment horizontal="center" vertical="center" readingOrder="1"/>
    </xf>
    <xf numFmtId="0" fontId="7" fillId="2" borderId="18" xfId="7" applyFont="1" applyFill="1" applyBorder="1" applyAlignment="1">
      <alignment horizontal="center" vertical="center" readingOrder="1"/>
    </xf>
  </cellXfs>
  <cellStyles count="11">
    <cellStyle name="Activity" xfId="10" xr:uid="{7CF9DE6B-1032-406F-83B0-7098C7A05FFC}"/>
    <cellStyle name="Explanatory Text" xfId="6" builtinId="53"/>
    <cellStyle name="Heading 1" xfId="3" builtinId="16"/>
    <cellStyle name="Heading 2" xfId="4" builtinId="17"/>
    <cellStyle name="Heading 3" xfId="5" builtinId="18"/>
    <cellStyle name="Label" xfId="8" xr:uid="{16770201-ADF8-49F6-A78D-CED41633F38D}"/>
    <cellStyle name="Normal" xfId="0" builtinId="0"/>
    <cellStyle name="Normal 4" xfId="7" xr:uid="{C2217144-C806-4F47-A1E8-0850A69FA0E8}"/>
    <cellStyle name="Percent" xfId="1" builtinId="5"/>
    <cellStyle name="Period Headers" xfId="9" xr:uid="{7E6F3008-5CC0-474B-8B18-D62DD5068B7E}"/>
    <cellStyle name="Title" xfId="2" builtinId="15"/>
  </cellStyles>
  <dxfs count="68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rgb="FFD0D55E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  <dxf>
      <fill>
        <patternFill>
          <bgColor theme="9" tint="0.39994506668294322"/>
        </patternFill>
      </fill>
    </dxf>
    <dxf>
      <fill>
        <patternFill patternType="solid">
          <fgColor auto="1"/>
          <bgColor rgb="FF92D050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Legion/OneDrive/Desktop/AIIMS%20REWARI/OPD%20&amp;%20EMR%20Completion%20Plan%203.10.26%20-%20Copy.xlsx" TargetMode="External"/><Relationship Id="rId1" Type="http://schemas.openxmlformats.org/officeDocument/2006/relationships/externalLinkPath" Target="file:///C:/Users/Legion/OneDrive/Desktop/AIIMS%20REWARI/OPD%20&amp;%20EMR%20Completion%20Plan%203.10.26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ntcon-my.sharepoint.com/personal/vishal_singh4_lntecc_com/Documents/Documents/OPD/Hospital%20Schedule%20for%20Client%20(110926).xlsx" TargetMode="External"/><Relationship Id="rId1" Type="http://schemas.openxmlformats.org/officeDocument/2006/relationships/externalLinkPath" Target="https://lntcon-my.sharepoint.com/personal/vishal_singh4_lntecc_com/Documents/Documents/OPD/Hospital%20Schedule%20for%20Client%20(110926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20382419/Downloads/OPD%20&amp;%20EMR%20Completion%20Plan%201.xlsx" TargetMode="External"/><Relationship Id="rId1" Type="http://schemas.openxmlformats.org/officeDocument/2006/relationships/externalLinkPath" Target="file:///C:/Users/20382419/Downloads/OPD%20&amp;%20EMR%20Completion%20Plan%20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ntcon-my.sharepoint.com/personal/vishal_singh4_lntecc_com/Documents/Documents/OPD/OPD%20Schedule%20for%20Client%20(110926).xlsx" TargetMode="External"/><Relationship Id="rId1" Type="http://schemas.openxmlformats.org/officeDocument/2006/relationships/externalLinkPath" Target="https://lntcon-my.sharepoint.com/personal/vishal_singh4_lntecc_com/Documents/Documents/OPD/OPD%20Schedule%20for%20Client%20(1109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D - Summary"/>
      <sheetName val="OPD"/>
      <sheetName val="OPD  Backup Sheet"/>
      <sheetName val="EMR"/>
      <sheetName val="EMR Backup Sheet"/>
      <sheetName val="Academic"/>
      <sheetName val="EMR - Activity wise"/>
      <sheetName val="Academic (2)"/>
      <sheetName val="Type 4"/>
      <sheetName val="Type 5"/>
      <sheetName val="Type 3"/>
      <sheetName val="UG Female"/>
      <sheetName val="UGF backup"/>
      <sheetName val="EMR "/>
      <sheetName val="UG Male"/>
      <sheetName val="UG MALE backup"/>
      <sheetName val="OPD  "/>
    </sheetNames>
    <definedNames>
      <definedName name="PeriodInActual" refersTo="#REF!" sheetId="4"/>
      <definedName name="PeriodInActual" refersTo="#REF!" sheetId="2"/>
      <definedName name="PeriodInPlan" refersTo="#REF!" sheetId="4"/>
      <definedName name="PeriodInPlan" refersTo="#REF!" sheetId="2"/>
    </defined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>
        <row r="7">
          <cell r="A7" t="str">
            <v>Brickwork</v>
          </cell>
          <cell r="B7">
            <v>45938</v>
          </cell>
          <cell r="C7">
            <v>46320</v>
          </cell>
          <cell r="D7">
            <v>0.95</v>
          </cell>
          <cell r="E7">
            <v>0.96</v>
          </cell>
        </row>
        <row r="8">
          <cell r="A8" t="str">
            <v>Internal Plaster</v>
          </cell>
          <cell r="B8">
            <v>46032</v>
          </cell>
          <cell r="C8">
            <v>46336</v>
          </cell>
          <cell r="D8">
            <v>0.75</v>
          </cell>
          <cell r="E8">
            <v>0.78</v>
          </cell>
        </row>
        <row r="9">
          <cell r="A9" t="str">
            <v>Joineries</v>
          </cell>
          <cell r="B9">
            <v>46102</v>
          </cell>
          <cell r="C9">
            <v>46371</v>
          </cell>
          <cell r="D9">
            <v>0.55000000000000004</v>
          </cell>
          <cell r="E9">
            <v>0.56999999999999995</v>
          </cell>
        </row>
        <row r="10">
          <cell r="A10" t="str">
            <v>Fire door frame &amp; shutter</v>
          </cell>
          <cell r="B10">
            <v>46102</v>
          </cell>
          <cell r="C10">
            <v>46371</v>
          </cell>
          <cell r="D10">
            <v>0.45</v>
          </cell>
        </row>
        <row r="11">
          <cell r="A11" t="str">
            <v>Flooring &amp; Dado</v>
          </cell>
          <cell r="B11">
            <v>46073</v>
          </cell>
          <cell r="C11">
            <v>46356</v>
          </cell>
          <cell r="D11">
            <v>0.75</v>
          </cell>
          <cell r="E11">
            <v>0.79</v>
          </cell>
        </row>
        <row r="12">
          <cell r="A12" t="str">
            <v>False Ceiling</v>
          </cell>
          <cell r="B12">
            <v>46323</v>
          </cell>
          <cell r="C12">
            <v>46378</v>
          </cell>
          <cell r="D12">
            <v>0</v>
          </cell>
        </row>
        <row r="13">
          <cell r="A13" t="str">
            <v xml:space="preserve">Lift lobby </v>
          </cell>
          <cell r="B13">
            <v>46315</v>
          </cell>
          <cell r="C13">
            <v>46376</v>
          </cell>
          <cell r="D13">
            <v>0</v>
          </cell>
        </row>
        <row r="14">
          <cell r="A14" t="str">
            <v>Interior Works</v>
          </cell>
          <cell r="B14">
            <v>46344</v>
          </cell>
          <cell r="C14">
            <v>46384</v>
          </cell>
          <cell r="D14">
            <v>0</v>
          </cell>
        </row>
        <row r="15">
          <cell r="A15" t="str">
            <v>SS Handrail</v>
          </cell>
          <cell r="B15">
            <v>46336</v>
          </cell>
          <cell r="C15">
            <v>46376</v>
          </cell>
          <cell r="D15">
            <v>0</v>
          </cell>
        </row>
        <row r="16">
          <cell r="A16" t="str">
            <v>OT Rooms</v>
          </cell>
        </row>
        <row r="17">
          <cell r="A17" t="str">
            <v>Ground Floor ( 2 Nos.)</v>
          </cell>
        </row>
        <row r="18">
          <cell r="A18" t="str">
            <v>Civil Work</v>
          </cell>
          <cell r="B18">
            <v>46167</v>
          </cell>
          <cell r="C18">
            <v>46262</v>
          </cell>
          <cell r="D18">
            <v>1</v>
          </cell>
          <cell r="E18">
            <v>1</v>
          </cell>
        </row>
        <row r="19">
          <cell r="A19" t="str">
            <v>OT Works</v>
          </cell>
          <cell r="B19">
            <v>46262</v>
          </cell>
          <cell r="C19">
            <v>46344</v>
          </cell>
          <cell r="D19">
            <v>0.35</v>
          </cell>
          <cell r="E19">
            <v>0.38</v>
          </cell>
        </row>
        <row r="20">
          <cell r="A20" t="str">
            <v>2nd Floor (2 Nos.)</v>
          </cell>
        </row>
        <row r="21">
          <cell r="A21" t="str">
            <v>Civil Work</v>
          </cell>
          <cell r="B21">
            <v>46193</v>
          </cell>
          <cell r="C21">
            <v>46298</v>
          </cell>
          <cell r="D21">
            <v>0.95</v>
          </cell>
          <cell r="E21">
            <v>0.96</v>
          </cell>
        </row>
        <row r="22">
          <cell r="A22" t="str">
            <v>OT Works</v>
          </cell>
          <cell r="B22">
            <v>46298</v>
          </cell>
          <cell r="C22">
            <v>46361</v>
          </cell>
          <cell r="D22">
            <v>0</v>
          </cell>
          <cell r="E22">
            <v>0</v>
          </cell>
        </row>
        <row r="23">
          <cell r="A23" t="str">
            <v>3rd Floor (12 Nos.)</v>
          </cell>
        </row>
        <row r="24">
          <cell r="A24" t="str">
            <v>Civil Work</v>
          </cell>
          <cell r="B24">
            <v>46208</v>
          </cell>
          <cell r="C24">
            <v>46325</v>
          </cell>
          <cell r="D24">
            <v>0.25</v>
          </cell>
          <cell r="E24">
            <v>0.27</v>
          </cell>
        </row>
        <row r="25">
          <cell r="A25" t="str">
            <v>OT Works</v>
          </cell>
          <cell r="B25">
            <v>46325</v>
          </cell>
          <cell r="C25">
            <v>46387</v>
          </cell>
          <cell r="D25">
            <v>0</v>
          </cell>
          <cell r="E25">
            <v>0</v>
          </cell>
        </row>
        <row r="26">
          <cell r="A26" t="str">
            <v>CSSD Room</v>
          </cell>
        </row>
        <row r="27">
          <cell r="A27" t="str">
            <v>Civil Work</v>
          </cell>
          <cell r="B27">
            <v>46213</v>
          </cell>
          <cell r="C27">
            <v>46264</v>
          </cell>
          <cell r="D27">
            <v>1</v>
          </cell>
          <cell r="E27">
            <v>1</v>
          </cell>
        </row>
        <row r="28">
          <cell r="A28" t="str">
            <v>Service Oriented Work</v>
          </cell>
          <cell r="B28">
            <v>46266</v>
          </cell>
          <cell r="C28">
            <v>46351</v>
          </cell>
          <cell r="D28">
            <v>0.52</v>
          </cell>
          <cell r="E28">
            <v>0.54</v>
          </cell>
        </row>
        <row r="29">
          <cell r="A29" t="str">
            <v>Above Terrace</v>
          </cell>
        </row>
        <row r="30">
          <cell r="A30" t="str">
            <v>Staircase - Head Room</v>
          </cell>
          <cell r="B30">
            <v>46280</v>
          </cell>
          <cell r="C30">
            <v>46325</v>
          </cell>
          <cell r="D30">
            <v>0.25</v>
          </cell>
          <cell r="E30">
            <v>0.33</v>
          </cell>
        </row>
        <row r="31">
          <cell r="A31" t="str">
            <v>Over Head Tank</v>
          </cell>
          <cell r="B31">
            <v>46290</v>
          </cell>
          <cell r="C31">
            <v>46327</v>
          </cell>
          <cell r="D31">
            <v>0.35</v>
          </cell>
          <cell r="E31">
            <v>0.42</v>
          </cell>
        </row>
        <row r="32">
          <cell r="A32" t="str">
            <v>Terrace Waterproofing</v>
          </cell>
          <cell r="B32">
            <v>46272</v>
          </cell>
          <cell r="C32">
            <v>46338</v>
          </cell>
          <cell r="D32">
            <v>0.65</v>
          </cell>
          <cell r="E32">
            <v>0.68</v>
          </cell>
        </row>
        <row r="33">
          <cell r="A33" t="str">
            <v>Truss &amp; Polycarbonate Sheet</v>
          </cell>
          <cell r="B33">
            <v>46270</v>
          </cell>
          <cell r="C33">
            <v>46320</v>
          </cell>
          <cell r="D33">
            <v>0.6</v>
          </cell>
          <cell r="E33">
            <v>0.64</v>
          </cell>
        </row>
        <row r="34">
          <cell r="A34" t="str">
            <v xml:space="preserve">External  </v>
          </cell>
        </row>
        <row r="35">
          <cell r="A35" t="str">
            <v>Elevation A</v>
          </cell>
          <cell r="B35">
            <v>46239</v>
          </cell>
          <cell r="C35">
            <v>46355</v>
          </cell>
          <cell r="D35">
            <v>0.35</v>
          </cell>
          <cell r="E35">
            <v>0.38</v>
          </cell>
        </row>
        <row r="36">
          <cell r="A36" t="str">
            <v>Elevation B</v>
          </cell>
          <cell r="B36">
            <v>46252</v>
          </cell>
          <cell r="C36">
            <v>46368</v>
          </cell>
          <cell r="D36">
            <v>0.1</v>
          </cell>
          <cell r="E36">
            <v>0.14000000000000001</v>
          </cell>
        </row>
        <row r="37">
          <cell r="A37" t="str">
            <v>Elevation C</v>
          </cell>
          <cell r="B37">
            <v>46270</v>
          </cell>
          <cell r="C37">
            <v>46384</v>
          </cell>
          <cell r="D37">
            <v>0.05</v>
          </cell>
          <cell r="E37">
            <v>0.08</v>
          </cell>
        </row>
        <row r="38">
          <cell r="A38" t="str">
            <v>Elevation D</v>
          </cell>
          <cell r="B38">
            <v>46244</v>
          </cell>
          <cell r="C38">
            <v>46386</v>
          </cell>
          <cell r="D38">
            <v>0.15</v>
          </cell>
          <cell r="E38">
            <v>0.17</v>
          </cell>
        </row>
        <row r="39">
          <cell r="A39" t="str">
            <v>Fascia Beam</v>
          </cell>
          <cell r="B39">
            <v>46267</v>
          </cell>
          <cell r="C39">
            <v>46346</v>
          </cell>
          <cell r="D39">
            <v>0.19</v>
          </cell>
          <cell r="E39">
            <v>0.24</v>
          </cell>
        </row>
        <row r="40">
          <cell r="A40" t="str">
            <v>Mechanical Electrical Plumbing ( MEP)</v>
          </cell>
        </row>
        <row r="41">
          <cell r="A41" t="str">
            <v>First Fixtures</v>
          </cell>
        </row>
        <row r="42">
          <cell r="A42" t="str">
            <v>Cable Tray Installation</v>
          </cell>
          <cell r="B42">
            <v>46034</v>
          </cell>
          <cell r="C42">
            <v>46275</v>
          </cell>
          <cell r="D42">
            <v>1</v>
          </cell>
          <cell r="E42">
            <v>1</v>
          </cell>
        </row>
        <row r="43">
          <cell r="A43" t="str">
            <v>CI/GI Piping</v>
          </cell>
          <cell r="B43">
            <v>46049</v>
          </cell>
          <cell r="C43">
            <v>46366</v>
          </cell>
          <cell r="D43">
            <v>0.6</v>
          </cell>
          <cell r="E43">
            <v>0.64</v>
          </cell>
        </row>
        <row r="44">
          <cell r="A44" t="str">
            <v>Ducting &amp; Insulation</v>
          </cell>
          <cell r="B44">
            <v>46042</v>
          </cell>
          <cell r="C44">
            <v>46326</v>
          </cell>
          <cell r="D44">
            <v>0.97</v>
          </cell>
          <cell r="E44">
            <v>0.98</v>
          </cell>
        </row>
        <row r="45">
          <cell r="A45" t="str">
            <v>Fire Piping installation</v>
          </cell>
          <cell r="B45">
            <v>46032</v>
          </cell>
          <cell r="C45">
            <v>46358</v>
          </cell>
          <cell r="D45">
            <v>0.65</v>
          </cell>
          <cell r="E45">
            <v>0.69</v>
          </cell>
        </row>
        <row r="46">
          <cell r="A46" t="str">
            <v>MGPS Copper Piping</v>
          </cell>
          <cell r="B46">
            <v>46275</v>
          </cell>
          <cell r="C46">
            <v>46374</v>
          </cell>
          <cell r="D46">
            <v>0.2</v>
          </cell>
          <cell r="E46">
            <v>0.24</v>
          </cell>
        </row>
        <row r="47">
          <cell r="A47" t="str">
            <v>PTTS Pipe installation</v>
          </cell>
          <cell r="B47">
            <v>46305</v>
          </cell>
          <cell r="C47">
            <v>46361</v>
          </cell>
          <cell r="D47">
            <v>0</v>
          </cell>
        </row>
        <row r="48">
          <cell r="A48" t="str">
            <v>Under deck Insulation</v>
          </cell>
          <cell r="B48">
            <v>46327</v>
          </cell>
          <cell r="C48">
            <v>46361</v>
          </cell>
          <cell r="D48">
            <v>0</v>
          </cell>
        </row>
        <row r="49">
          <cell r="A49" t="str">
            <v>Second Fix</v>
          </cell>
        </row>
        <row r="50">
          <cell r="A50" t="str">
            <v>Wiring</v>
          </cell>
          <cell r="B50">
            <v>46268</v>
          </cell>
          <cell r="C50">
            <v>46353</v>
          </cell>
          <cell r="D50">
            <v>0.15</v>
          </cell>
          <cell r="E50">
            <v>0.18</v>
          </cell>
        </row>
        <row r="51">
          <cell r="A51" t="str">
            <v>Cable Laying &amp; Panel Instt.</v>
          </cell>
          <cell r="B51">
            <v>46270</v>
          </cell>
          <cell r="C51">
            <v>46347</v>
          </cell>
          <cell r="D51">
            <v>0.32</v>
          </cell>
          <cell r="E51">
            <v>0.37</v>
          </cell>
        </row>
        <row r="52">
          <cell r="A52" t="str">
            <v>UPS Installation</v>
          </cell>
          <cell r="B52">
            <v>46361</v>
          </cell>
          <cell r="C52">
            <v>46376</v>
          </cell>
          <cell r="D52">
            <v>0</v>
          </cell>
        </row>
        <row r="53">
          <cell r="A53" t="str">
            <v>Cistern &amp; Sensor Fixing</v>
          </cell>
          <cell r="B53">
            <v>46223</v>
          </cell>
          <cell r="C53">
            <v>46336</v>
          </cell>
          <cell r="D53">
            <v>0.39</v>
          </cell>
          <cell r="E53">
            <v>0.42</v>
          </cell>
        </row>
        <row r="54">
          <cell r="A54" t="str">
            <v>HVAC Pipe Testing</v>
          </cell>
          <cell r="B54">
            <v>46230</v>
          </cell>
          <cell r="C54">
            <v>46365</v>
          </cell>
          <cell r="D54">
            <v>0.45</v>
          </cell>
          <cell r="E54">
            <v>0.47</v>
          </cell>
        </row>
        <row r="55">
          <cell r="A55" t="str">
            <v>AHU Connection</v>
          </cell>
          <cell r="B55">
            <v>46230</v>
          </cell>
          <cell r="C55">
            <v>46365</v>
          </cell>
          <cell r="D55">
            <v>0.22</v>
          </cell>
          <cell r="E55">
            <v>0.25</v>
          </cell>
        </row>
        <row r="56">
          <cell r="A56" t="str">
            <v>CAT 6 cabling</v>
          </cell>
          <cell r="B56">
            <v>46189</v>
          </cell>
          <cell r="C56">
            <v>46364</v>
          </cell>
          <cell r="D56">
            <v>0.37</v>
          </cell>
          <cell r="E56">
            <v>0.42</v>
          </cell>
        </row>
        <row r="57">
          <cell r="A57" t="str">
            <v>PA &amp; FAS cabling</v>
          </cell>
          <cell r="B57">
            <v>46189</v>
          </cell>
          <cell r="C57">
            <v>46353</v>
          </cell>
          <cell r="D57">
            <v>0.6</v>
          </cell>
          <cell r="E57">
            <v>0.63</v>
          </cell>
        </row>
        <row r="58">
          <cell r="A58" t="str">
            <v>Fire Panel Installation</v>
          </cell>
          <cell r="B58">
            <v>46305</v>
          </cell>
          <cell r="C58">
            <v>46321</v>
          </cell>
          <cell r="D58">
            <v>0</v>
          </cell>
        </row>
        <row r="59">
          <cell r="A59" t="str">
            <v xml:space="preserve">Network Switch </v>
          </cell>
          <cell r="B59">
            <v>46310</v>
          </cell>
          <cell r="C59">
            <v>46367</v>
          </cell>
          <cell r="D59">
            <v>0</v>
          </cell>
        </row>
        <row r="60">
          <cell r="A60" t="str">
            <v>Final Fixture</v>
          </cell>
          <cell r="B60">
            <v>46346</v>
          </cell>
          <cell r="C60">
            <v>46366</v>
          </cell>
          <cell r="D60">
            <v>0</v>
          </cell>
        </row>
        <row r="61">
          <cell r="A61" t="str">
            <v>Terrace</v>
          </cell>
        </row>
        <row r="62">
          <cell r="A62" t="str">
            <v>PHE Piping installation</v>
          </cell>
          <cell r="B62">
            <v>46310</v>
          </cell>
          <cell r="C62">
            <v>46351</v>
          </cell>
          <cell r="D62">
            <v>0</v>
          </cell>
        </row>
        <row r="63">
          <cell r="A63" t="str">
            <v>Cable Tray Installation</v>
          </cell>
          <cell r="B63">
            <v>46310</v>
          </cell>
          <cell r="C63">
            <v>46347</v>
          </cell>
          <cell r="D63">
            <v>0</v>
          </cell>
        </row>
        <row r="64">
          <cell r="A64" t="str">
            <v>Solar Panel Installation</v>
          </cell>
          <cell r="B64">
            <v>46331</v>
          </cell>
          <cell r="C64">
            <v>46372</v>
          </cell>
          <cell r="D64">
            <v>0</v>
          </cell>
        </row>
        <row r="65">
          <cell r="A65" t="str">
            <v>OHT</v>
          </cell>
          <cell r="B65">
            <v>46331</v>
          </cell>
          <cell r="C65">
            <v>46366</v>
          </cell>
          <cell r="D65">
            <v>0.35</v>
          </cell>
          <cell r="E65">
            <v>0.41</v>
          </cell>
        </row>
        <row r="66">
          <cell r="A66" t="str">
            <v>Terrace Waterproofing</v>
          </cell>
          <cell r="B66">
            <v>46275</v>
          </cell>
          <cell r="C66">
            <v>46361</v>
          </cell>
          <cell r="D66">
            <v>0.75</v>
          </cell>
          <cell r="E66">
            <v>0.77</v>
          </cell>
        </row>
        <row r="67">
          <cell r="A67" t="str">
            <v>Truss with Polycarbonate Sheet</v>
          </cell>
          <cell r="B67">
            <v>46295</v>
          </cell>
          <cell r="C67">
            <v>46341</v>
          </cell>
          <cell r="D67">
            <v>0</v>
          </cell>
        </row>
        <row r="68">
          <cell r="A68" t="str">
            <v>Lift Installation with slow speed</v>
          </cell>
        </row>
        <row r="69">
          <cell r="A69" t="str">
            <v>2 Nos.</v>
          </cell>
          <cell r="B69">
            <v>46295</v>
          </cell>
          <cell r="C69">
            <v>46331</v>
          </cell>
          <cell r="D69">
            <v>0</v>
          </cell>
        </row>
        <row r="70">
          <cell r="A70" t="str">
            <v>1 Nos.</v>
          </cell>
          <cell r="B70">
            <v>46302</v>
          </cell>
          <cell r="C70">
            <v>46344</v>
          </cell>
          <cell r="D70">
            <v>0</v>
          </cell>
        </row>
        <row r="71">
          <cell r="A71" t="str">
            <v>2 Nos.</v>
          </cell>
          <cell r="B71">
            <v>46306</v>
          </cell>
          <cell r="C71">
            <v>46354</v>
          </cell>
          <cell r="D71">
            <v>0</v>
          </cell>
        </row>
        <row r="72">
          <cell r="A72" t="str">
            <v>2 Nos.</v>
          </cell>
          <cell r="B72">
            <v>46341</v>
          </cell>
          <cell r="C72">
            <v>46377</v>
          </cell>
          <cell r="D72">
            <v>0</v>
          </cell>
        </row>
        <row r="73">
          <cell r="A73" t="str">
            <v>2 Nos.</v>
          </cell>
          <cell r="B73">
            <v>46319</v>
          </cell>
          <cell r="C73">
            <v>46364</v>
          </cell>
          <cell r="D73">
            <v>0</v>
          </cell>
        </row>
        <row r="74">
          <cell r="A74" t="str">
            <v>2 Nos. (Dumb waiter)</v>
          </cell>
          <cell r="B74">
            <v>46323</v>
          </cell>
          <cell r="C74">
            <v>46373</v>
          </cell>
          <cell r="D74">
            <v>0</v>
          </cell>
        </row>
        <row r="75">
          <cell r="A75" t="str">
            <v>Permanent Power</v>
          </cell>
        </row>
        <row r="76">
          <cell r="A76" t="str">
            <v>ESS1 to EMR Cable laying</v>
          </cell>
          <cell r="B76">
            <v>46275</v>
          </cell>
          <cell r="C76">
            <v>46303</v>
          </cell>
          <cell r="D76">
            <v>0.25</v>
          </cell>
          <cell r="E76">
            <v>0.28999999999999998</v>
          </cell>
        </row>
        <row r="77">
          <cell r="A77" t="str">
            <v>Main LT Panel Energisation</v>
          </cell>
          <cell r="B77">
            <v>46320</v>
          </cell>
          <cell r="C77">
            <v>46336</v>
          </cell>
          <cell r="D77">
            <v>0</v>
          </cell>
        </row>
        <row r="78">
          <cell r="A78" t="str">
            <v>Rising Main</v>
          </cell>
          <cell r="B78">
            <v>46323</v>
          </cell>
          <cell r="C78">
            <v>46341</v>
          </cell>
          <cell r="D78">
            <v>0</v>
          </cell>
        </row>
        <row r="79">
          <cell r="A79" t="str">
            <v>Testing with Permanent Power / Completion</v>
          </cell>
        </row>
        <row r="80">
          <cell r="A80" t="str">
            <v xml:space="preserve">Lift </v>
          </cell>
          <cell r="B80">
            <v>46357</v>
          </cell>
          <cell r="C80">
            <v>46380</v>
          </cell>
        </row>
        <row r="81">
          <cell r="A81" t="str">
            <v>IT/Data Services</v>
          </cell>
          <cell r="B81">
            <v>46351</v>
          </cell>
          <cell r="C81">
            <v>46376</v>
          </cell>
        </row>
        <row r="82">
          <cell r="A82" t="str">
            <v>Fire Control System</v>
          </cell>
          <cell r="B82">
            <v>46361</v>
          </cell>
          <cell r="C82">
            <v>46380</v>
          </cell>
        </row>
        <row r="83">
          <cell r="A83" t="str">
            <v>HVAC System</v>
          </cell>
          <cell r="B83">
            <v>46346</v>
          </cell>
          <cell r="C83">
            <v>46376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R"/>
      <sheetName val="OPD"/>
      <sheetName val="IPD"/>
    </sheetNames>
    <sheetDataSet>
      <sheetData sheetId="0" refreshError="1">
        <row r="7">
          <cell r="B7" t="str">
            <v>Brickwork</v>
          </cell>
          <cell r="C7" t="str">
            <v>WIP</v>
          </cell>
          <cell r="D7">
            <v>46320</v>
          </cell>
        </row>
        <row r="8">
          <cell r="B8" t="str">
            <v>Plaster</v>
          </cell>
          <cell r="C8" t="str">
            <v>WIP</v>
          </cell>
          <cell r="D8">
            <v>46336</v>
          </cell>
        </row>
        <row r="9">
          <cell r="B9" t="str">
            <v>Ground Floor</v>
          </cell>
          <cell r="C9" t="str">
            <v>WIP</v>
          </cell>
          <cell r="D9">
            <v>46325</v>
          </cell>
        </row>
        <row r="10">
          <cell r="B10" t="str">
            <v>1st Floor</v>
          </cell>
          <cell r="C10" t="str">
            <v>WIP</v>
          </cell>
          <cell r="D10">
            <v>46315</v>
          </cell>
        </row>
        <row r="11">
          <cell r="B11" t="str">
            <v>2nd Floor</v>
          </cell>
          <cell r="C11" t="str">
            <v>WIP</v>
          </cell>
          <cell r="D11">
            <v>46310</v>
          </cell>
        </row>
        <row r="12">
          <cell r="B12" t="str">
            <v>3rd Floor</v>
          </cell>
          <cell r="C12" t="str">
            <v>WIP</v>
          </cell>
          <cell r="D12">
            <v>46310</v>
          </cell>
        </row>
        <row r="13">
          <cell r="B13" t="str">
            <v>Above terrace</v>
          </cell>
          <cell r="C13" t="str">
            <v>WIP</v>
          </cell>
          <cell r="D13">
            <v>46336</v>
          </cell>
        </row>
        <row r="14">
          <cell r="B14" t="str">
            <v>Aluminum Joineries</v>
          </cell>
          <cell r="C14" t="str">
            <v>WIP</v>
          </cell>
          <cell r="D14">
            <v>46371</v>
          </cell>
        </row>
        <row r="15">
          <cell r="B15" t="str">
            <v>Fire door frame &amp; shutter</v>
          </cell>
          <cell r="C15" t="str">
            <v>WIP</v>
          </cell>
          <cell r="D15">
            <v>46371</v>
          </cell>
        </row>
        <row r="16">
          <cell r="B16" t="str">
            <v>Flooring &amp; dado</v>
          </cell>
          <cell r="C16" t="str">
            <v>WIP</v>
          </cell>
          <cell r="D16">
            <v>46356</v>
          </cell>
        </row>
        <row r="17">
          <cell r="B17" t="str">
            <v>False Ceiling</v>
          </cell>
          <cell r="C17">
            <v>46310</v>
          </cell>
          <cell r="D17">
            <v>46370</v>
          </cell>
        </row>
        <row r="18">
          <cell r="B18" t="str">
            <v>Ground Floor</v>
          </cell>
          <cell r="C18">
            <v>46310</v>
          </cell>
          <cell r="D18">
            <v>46325</v>
          </cell>
        </row>
        <row r="19">
          <cell r="B19" t="str">
            <v>1st Floor</v>
          </cell>
          <cell r="C19">
            <v>46325</v>
          </cell>
          <cell r="D19">
            <v>46340</v>
          </cell>
        </row>
        <row r="20">
          <cell r="B20" t="str">
            <v>2nd Floor</v>
          </cell>
          <cell r="C20">
            <v>46340</v>
          </cell>
          <cell r="D20">
            <v>46355</v>
          </cell>
        </row>
        <row r="21">
          <cell r="B21" t="str">
            <v>3rd Floor</v>
          </cell>
          <cell r="C21">
            <v>46355</v>
          </cell>
          <cell r="D21">
            <v>46370</v>
          </cell>
        </row>
        <row r="22">
          <cell r="B22" t="str">
            <v>Lift facia granite</v>
          </cell>
          <cell r="C22">
            <v>46315</v>
          </cell>
          <cell r="D22">
            <v>46350</v>
          </cell>
        </row>
        <row r="23">
          <cell r="B23" t="str">
            <v xml:space="preserve">Courtyard Plaster </v>
          </cell>
          <cell r="C23">
            <v>46293</v>
          </cell>
          <cell r="D23">
            <v>46325</v>
          </cell>
        </row>
        <row r="24">
          <cell r="B24" t="str">
            <v>SS Handrail</v>
          </cell>
          <cell r="C24">
            <v>46336</v>
          </cell>
          <cell r="D24">
            <v>46372</v>
          </cell>
        </row>
        <row r="25">
          <cell r="B25" t="str">
            <v>Over Terrace</v>
          </cell>
        </row>
        <row r="26">
          <cell r="B26" t="str">
            <v>OHT&amp;Mummty</v>
          </cell>
          <cell r="C26">
            <v>46290</v>
          </cell>
          <cell r="D26">
            <v>46310</v>
          </cell>
        </row>
        <row r="27">
          <cell r="B27" t="str">
            <v>OHT Waterproofing &amp; Tiling</v>
          </cell>
          <cell r="C27">
            <v>46315</v>
          </cell>
          <cell r="D27">
            <v>46327</v>
          </cell>
        </row>
        <row r="28">
          <cell r="B28" t="str">
            <v>LMR</v>
          </cell>
          <cell r="C28" t="str">
            <v>WIP</v>
          </cell>
          <cell r="D28">
            <v>46311</v>
          </cell>
        </row>
        <row r="29">
          <cell r="B29" t="str">
            <v>Terrace Waterproofing&amp;HRT Tiles</v>
          </cell>
          <cell r="C29" t="str">
            <v>WIP</v>
          </cell>
          <cell r="D29">
            <v>46320</v>
          </cell>
        </row>
        <row r="30">
          <cell r="B30" t="str">
            <v>Pedestals</v>
          </cell>
          <cell r="C30" t="str">
            <v>WIP</v>
          </cell>
          <cell r="D30">
            <v>46325</v>
          </cell>
        </row>
        <row r="31">
          <cell r="B31" t="str">
            <v>Polycarbonate Sheet</v>
          </cell>
          <cell r="C31" t="str">
            <v>WIP</v>
          </cell>
          <cell r="D31">
            <v>46320</v>
          </cell>
        </row>
        <row r="32">
          <cell r="B32" t="str">
            <v>External</v>
          </cell>
        </row>
        <row r="33">
          <cell r="B33" t="str">
            <v>Shaft brickwork &amp; plaster</v>
          </cell>
        </row>
        <row r="34">
          <cell r="B34" t="str">
            <v>Elevation A</v>
          </cell>
          <cell r="C34" t="str">
            <v>WIP</v>
          </cell>
          <cell r="D34">
            <v>46320</v>
          </cell>
        </row>
        <row r="35">
          <cell r="B35" t="str">
            <v>Elevation B</v>
          </cell>
          <cell r="C35">
            <v>46295</v>
          </cell>
          <cell r="D35">
            <v>46326</v>
          </cell>
        </row>
        <row r="36">
          <cell r="B36" t="str">
            <v>Elevation C</v>
          </cell>
          <cell r="C36">
            <v>46283</v>
          </cell>
          <cell r="D36">
            <v>46295</v>
          </cell>
        </row>
        <row r="37">
          <cell r="B37" t="str">
            <v>Elevation D</v>
          </cell>
          <cell r="C37" t="str">
            <v>WIP</v>
          </cell>
          <cell r="D37">
            <v>46305</v>
          </cell>
        </row>
        <row r="38">
          <cell r="B38" t="str">
            <v>External Stone Cladding</v>
          </cell>
        </row>
        <row r="39">
          <cell r="B39" t="str">
            <v>Elevation A</v>
          </cell>
        </row>
        <row r="40">
          <cell r="B40" t="str">
            <v>Elevation B</v>
          </cell>
        </row>
        <row r="41">
          <cell r="B41" t="str">
            <v>Elevation C</v>
          </cell>
        </row>
        <row r="42">
          <cell r="B42" t="str">
            <v>Elevation D</v>
          </cell>
        </row>
        <row r="43">
          <cell r="B43" t="str">
            <v>Structural Glazing</v>
          </cell>
        </row>
        <row r="44">
          <cell r="B44" t="str">
            <v>Elevation A</v>
          </cell>
        </row>
        <row r="45">
          <cell r="B45" t="str">
            <v>Elevation B</v>
          </cell>
        </row>
        <row r="46">
          <cell r="B46" t="str">
            <v>Elevation C</v>
          </cell>
        </row>
        <row r="47">
          <cell r="B47" t="str">
            <v>Elevation D</v>
          </cell>
        </row>
        <row r="48">
          <cell r="B48" t="str">
            <v>MEP</v>
          </cell>
        </row>
        <row r="49">
          <cell r="B49" t="str">
            <v>Frist Fix</v>
          </cell>
        </row>
        <row r="50">
          <cell r="B50" t="str">
            <v>Electrical</v>
          </cell>
        </row>
        <row r="51">
          <cell r="B51" t="str">
            <v>Wall Conduit &amp; GI Box Fixing</v>
          </cell>
          <cell r="C51" t="str">
            <v xml:space="preserve">Completed </v>
          </cell>
        </row>
        <row r="52">
          <cell r="B52" t="str">
            <v>Cable Tray Installation</v>
          </cell>
          <cell r="C52" t="str">
            <v xml:space="preserve">Completed </v>
          </cell>
        </row>
        <row r="53">
          <cell r="B53" t="str">
            <v>DB Installation</v>
          </cell>
          <cell r="C53" t="str">
            <v xml:space="preserve">Completed </v>
          </cell>
        </row>
        <row r="54">
          <cell r="B54" t="str">
            <v>PHE</v>
          </cell>
        </row>
        <row r="55">
          <cell r="B55" t="str">
            <v>CI Pipiing</v>
          </cell>
          <cell r="C55" t="str">
            <v>WIP</v>
          </cell>
          <cell r="D55">
            <v>46366</v>
          </cell>
        </row>
        <row r="56">
          <cell r="B56" t="str">
            <v>CPVC Piping</v>
          </cell>
          <cell r="C56" t="str">
            <v>WIP</v>
          </cell>
          <cell r="D56">
            <v>46366</v>
          </cell>
        </row>
        <row r="57">
          <cell r="B57" t="str">
            <v>GI Piping</v>
          </cell>
          <cell r="C57" t="str">
            <v>WIP</v>
          </cell>
          <cell r="D57">
            <v>46366</v>
          </cell>
        </row>
        <row r="58">
          <cell r="B58" t="str">
            <v>HVAC</v>
          </cell>
        </row>
        <row r="59">
          <cell r="B59" t="str">
            <v>Ducting &amp; Insulation</v>
          </cell>
          <cell r="C59" t="str">
            <v>WIP</v>
          </cell>
          <cell r="D59">
            <v>46326</v>
          </cell>
        </row>
        <row r="60">
          <cell r="B60" t="str">
            <v>Piping installation</v>
          </cell>
          <cell r="C60" t="str">
            <v>WIP</v>
          </cell>
          <cell r="D60">
            <v>46326</v>
          </cell>
        </row>
        <row r="61">
          <cell r="B61" t="str">
            <v>AHU Installation</v>
          </cell>
          <cell r="C61" t="str">
            <v>WIP</v>
          </cell>
          <cell r="D61">
            <v>46326</v>
          </cell>
        </row>
        <row r="62">
          <cell r="B62" t="str">
            <v>Firefighting</v>
          </cell>
        </row>
        <row r="63">
          <cell r="B63" t="str">
            <v>Piping installation</v>
          </cell>
          <cell r="C63" t="str">
            <v>WIP</v>
          </cell>
          <cell r="D63">
            <v>46358</v>
          </cell>
        </row>
        <row r="64">
          <cell r="B64" t="str">
            <v>ELV</v>
          </cell>
        </row>
        <row r="65">
          <cell r="B65" t="str">
            <v>PVC conduiting &amp; GI box fixing</v>
          </cell>
          <cell r="C65" t="str">
            <v xml:space="preserve">Completed </v>
          </cell>
        </row>
        <row r="66">
          <cell r="B66" t="str">
            <v>Raceway Installation</v>
          </cell>
          <cell r="C66" t="str">
            <v xml:space="preserve">Completed </v>
          </cell>
        </row>
        <row r="67">
          <cell r="B67" t="str">
            <v>MGPS</v>
          </cell>
        </row>
        <row r="68">
          <cell r="B68" t="str">
            <v>Copper Pipning</v>
          </cell>
        </row>
        <row r="69">
          <cell r="B69" t="str">
            <v>PTTS</v>
          </cell>
          <cell r="C69" t="str">
            <v>WIP</v>
          </cell>
          <cell r="D69">
            <v>46366</v>
          </cell>
        </row>
        <row r="70">
          <cell r="B70" t="str">
            <v>Pipe Installation</v>
          </cell>
          <cell r="C70" t="str">
            <v>WIP</v>
          </cell>
          <cell r="D70">
            <v>46366</v>
          </cell>
        </row>
        <row r="71">
          <cell r="B71" t="str">
            <v>Second Fix</v>
          </cell>
        </row>
        <row r="72">
          <cell r="B72" t="str">
            <v>Electrical</v>
          </cell>
        </row>
        <row r="73">
          <cell r="B73" t="str">
            <v>Wiring</v>
          </cell>
          <cell r="C73" t="str">
            <v>WIP</v>
          </cell>
          <cell r="D73">
            <v>46386</v>
          </cell>
        </row>
        <row r="74">
          <cell r="B74" t="str">
            <v>Cable Laying &amp; Panel Installation</v>
          </cell>
          <cell r="C74" t="str">
            <v>WIP</v>
          </cell>
          <cell r="D74">
            <v>46386</v>
          </cell>
        </row>
        <row r="75">
          <cell r="B75" t="str">
            <v>UPS Installation</v>
          </cell>
          <cell r="C75" t="str">
            <v>WIP</v>
          </cell>
          <cell r="D75">
            <v>46386</v>
          </cell>
        </row>
        <row r="76">
          <cell r="B76" t="str">
            <v>DB Dresssing</v>
          </cell>
          <cell r="C76" t="str">
            <v>WIP</v>
          </cell>
          <cell r="D76">
            <v>46386</v>
          </cell>
        </row>
        <row r="77">
          <cell r="B77" t="str">
            <v>PHE</v>
          </cell>
        </row>
        <row r="78">
          <cell r="B78" t="str">
            <v>Cister&amp; Sensor Fixing</v>
          </cell>
          <cell r="C78" t="str">
            <v>WIP</v>
          </cell>
          <cell r="D78">
            <v>46305</v>
          </cell>
        </row>
        <row r="79">
          <cell r="B79" t="str">
            <v>HVAC</v>
          </cell>
        </row>
        <row r="80">
          <cell r="B80" t="str">
            <v>Duct testinfg &amp; dropper for diffusere</v>
          </cell>
          <cell r="C80" t="str">
            <v>WIP</v>
          </cell>
          <cell r="D80">
            <v>46386</v>
          </cell>
        </row>
        <row r="81">
          <cell r="B81" t="str">
            <v>Pipe Testing</v>
          </cell>
          <cell r="C81" t="str">
            <v>WIP</v>
          </cell>
          <cell r="D81">
            <v>46386</v>
          </cell>
        </row>
        <row r="82">
          <cell r="B82" t="str">
            <v>AHU Connection</v>
          </cell>
          <cell r="C82" t="str">
            <v>WIP</v>
          </cell>
          <cell r="D82">
            <v>46386</v>
          </cell>
        </row>
        <row r="83">
          <cell r="B83" t="str">
            <v>Firefighting</v>
          </cell>
        </row>
        <row r="84">
          <cell r="B84" t="str">
            <v>Sprinkler Flexible connection &amp; testing</v>
          </cell>
          <cell r="C84" t="str">
            <v>WIP</v>
          </cell>
          <cell r="D84">
            <v>46305</v>
          </cell>
        </row>
        <row r="85">
          <cell r="B85" t="str">
            <v>Wet Riser &amp; FHC installation</v>
          </cell>
          <cell r="C85" t="str">
            <v>WIP</v>
          </cell>
          <cell r="D85">
            <v>46305</v>
          </cell>
        </row>
        <row r="86">
          <cell r="B86" t="str">
            <v>ELV</v>
          </cell>
        </row>
        <row r="87">
          <cell r="B87" t="str">
            <v>CAT 6 cabling</v>
          </cell>
          <cell r="C87" t="str">
            <v>WIP</v>
          </cell>
          <cell r="D87">
            <v>46386</v>
          </cell>
        </row>
        <row r="88">
          <cell r="B88" t="str">
            <v>PA &amp; FAS cabling</v>
          </cell>
          <cell r="C88" t="str">
            <v>WIP</v>
          </cell>
          <cell r="D88">
            <v>46386</v>
          </cell>
        </row>
        <row r="89">
          <cell r="B89" t="str">
            <v>Fire Panel Installation</v>
          </cell>
          <cell r="C89" t="str">
            <v>WIP</v>
          </cell>
          <cell r="D89">
            <v>46386</v>
          </cell>
        </row>
        <row r="90">
          <cell r="B90" t="str">
            <v>Network Switch Installation &amp; connection</v>
          </cell>
          <cell r="C90" t="str">
            <v>WIP</v>
          </cell>
          <cell r="D90">
            <v>46386</v>
          </cell>
        </row>
        <row r="91">
          <cell r="B91" t="str">
            <v>MGPS</v>
          </cell>
        </row>
        <row r="92">
          <cell r="B92" t="str">
            <v>Copper Pipe testing</v>
          </cell>
          <cell r="C92" t="str">
            <v>WIP</v>
          </cell>
          <cell r="D92">
            <v>46386</v>
          </cell>
        </row>
        <row r="93">
          <cell r="B93" t="str">
            <v>PTTS</v>
          </cell>
        </row>
        <row r="94">
          <cell r="B94" t="str">
            <v>Pipe accessories fixing &amp; testing</v>
          </cell>
          <cell r="C94" t="str">
            <v>WIP</v>
          </cell>
          <cell r="D94">
            <v>46386</v>
          </cell>
        </row>
        <row r="95">
          <cell r="B95" t="str">
            <v>Final Fixture</v>
          </cell>
        </row>
        <row r="96">
          <cell r="B96" t="str">
            <v>Electrical</v>
          </cell>
        </row>
        <row r="97">
          <cell r="B97" t="str">
            <v>Switch Socket &amp; light fixture  Installation</v>
          </cell>
          <cell r="C97" t="str">
            <v>WIP</v>
          </cell>
          <cell r="D97">
            <v>46386</v>
          </cell>
        </row>
        <row r="98">
          <cell r="B98" t="str">
            <v>Cable termination &amp; panel testing</v>
          </cell>
          <cell r="C98" t="str">
            <v>WIP</v>
          </cell>
          <cell r="D98">
            <v>46386</v>
          </cell>
        </row>
        <row r="99">
          <cell r="B99" t="str">
            <v>UPS testing &amp; commissioning</v>
          </cell>
          <cell r="C99" t="str">
            <v>WIP</v>
          </cell>
          <cell r="D99">
            <v>46386</v>
          </cell>
        </row>
        <row r="100">
          <cell r="B100" t="str">
            <v>DB testing</v>
          </cell>
          <cell r="C100" t="str">
            <v>WIP</v>
          </cell>
          <cell r="D100">
            <v>46386</v>
          </cell>
        </row>
        <row r="101">
          <cell r="B101" t="str">
            <v>PHE</v>
          </cell>
        </row>
        <row r="102">
          <cell r="B102" t="str">
            <v>Fixtures Installation</v>
          </cell>
          <cell r="C102" t="str">
            <v>WIP</v>
          </cell>
          <cell r="D102">
            <v>46386</v>
          </cell>
        </row>
        <row r="103">
          <cell r="B103" t="str">
            <v>HVAC</v>
          </cell>
        </row>
        <row r="104">
          <cell r="B104" t="str">
            <v>Diffuser Installation</v>
          </cell>
          <cell r="C104" t="str">
            <v>WIP</v>
          </cell>
          <cell r="D104">
            <v>46386</v>
          </cell>
        </row>
        <row r="105">
          <cell r="B105" t="str">
            <v>AHU Testing</v>
          </cell>
          <cell r="C105" t="str">
            <v>WIP</v>
          </cell>
          <cell r="D105">
            <v>46386</v>
          </cell>
        </row>
        <row r="106">
          <cell r="B106" t="str">
            <v>Firefighting</v>
          </cell>
        </row>
        <row r="107">
          <cell r="B107" t="str">
            <v>Sprinkler Fixing</v>
          </cell>
          <cell r="C107" t="str">
            <v>WIP</v>
          </cell>
          <cell r="D107">
            <v>46386</v>
          </cell>
        </row>
        <row r="108">
          <cell r="B108" t="str">
            <v>ELV</v>
          </cell>
        </row>
        <row r="109">
          <cell r="B109" t="str">
            <v xml:space="preserve"> Fire Alam  &amp; PA Device Fixing</v>
          </cell>
          <cell r="C109" t="str">
            <v>WIP</v>
          </cell>
          <cell r="D109">
            <v>46386</v>
          </cell>
        </row>
        <row r="110">
          <cell r="B110" t="str">
            <v xml:space="preserve"> Telephone &amp; Data Socket Fixing</v>
          </cell>
          <cell r="C110" t="str">
            <v>WIP</v>
          </cell>
          <cell r="D110">
            <v>46386</v>
          </cell>
        </row>
        <row r="111">
          <cell r="B111" t="str">
            <v>Fire Panel testing &amp; device addressing</v>
          </cell>
          <cell r="C111" t="str">
            <v>WIP</v>
          </cell>
          <cell r="D111">
            <v>46386</v>
          </cell>
        </row>
        <row r="112">
          <cell r="B112" t="str">
            <v>Network Switch testing</v>
          </cell>
          <cell r="C112" t="str">
            <v>WIP</v>
          </cell>
          <cell r="D112">
            <v>46386</v>
          </cell>
        </row>
        <row r="113">
          <cell r="B113" t="str">
            <v>QMS , HMIS , Biometric , etc.</v>
          </cell>
          <cell r="C113" t="str">
            <v>WIP</v>
          </cell>
          <cell r="D113">
            <v>46386</v>
          </cell>
        </row>
        <row r="114">
          <cell r="B114" t="str">
            <v>MGPS</v>
          </cell>
        </row>
        <row r="115">
          <cell r="B115" t="str">
            <v>Outlet Installation</v>
          </cell>
        </row>
        <row r="116">
          <cell r="B116" t="str">
            <v>PTTS</v>
          </cell>
        </row>
        <row r="117">
          <cell r="B117" t="str">
            <v>PTTS station installation</v>
          </cell>
          <cell r="C117" t="str">
            <v>WIP</v>
          </cell>
          <cell r="D117">
            <v>46386</v>
          </cell>
        </row>
        <row r="118">
          <cell r="B118" t="str">
            <v>Terrace</v>
          </cell>
        </row>
        <row r="119">
          <cell r="B119" t="str">
            <v xml:space="preserve"> PHE Piping installation</v>
          </cell>
          <cell r="C119" t="str">
            <v>WIP</v>
          </cell>
          <cell r="D119">
            <v>46386</v>
          </cell>
        </row>
        <row r="120">
          <cell r="B120" t="str">
            <v>AHU Installation</v>
          </cell>
          <cell r="C120" t="str">
            <v>WIP</v>
          </cell>
          <cell r="D120">
            <v>46386</v>
          </cell>
        </row>
        <row r="121">
          <cell r="B121" t="str">
            <v>Fan Installation</v>
          </cell>
          <cell r="C121" t="str">
            <v>WIP</v>
          </cell>
          <cell r="D121">
            <v>46386</v>
          </cell>
        </row>
        <row r="122">
          <cell r="B122" t="str">
            <v>Cable Tray, Raceway Installation &amp; cable laying</v>
          </cell>
          <cell r="C122" t="str">
            <v>WIP</v>
          </cell>
          <cell r="D122">
            <v>46386</v>
          </cell>
        </row>
        <row r="123">
          <cell r="B123" t="str">
            <v>Solar Panel Installation</v>
          </cell>
          <cell r="C123" t="str">
            <v>WIP</v>
          </cell>
          <cell r="D123">
            <v>46386</v>
          </cell>
        </row>
        <row r="124">
          <cell r="B124" t="str">
            <v>DDC Panel Installation</v>
          </cell>
          <cell r="C124" t="str">
            <v>WIP</v>
          </cell>
          <cell r="D124">
            <v>46386</v>
          </cell>
        </row>
        <row r="125">
          <cell r="B125" t="str">
            <v>Booster Panel Installation</v>
          </cell>
          <cell r="C125" t="str">
            <v>WIP</v>
          </cell>
          <cell r="D125">
            <v>46386</v>
          </cell>
        </row>
        <row r="126">
          <cell r="B126" t="str">
            <v>Shaft</v>
          </cell>
        </row>
        <row r="127">
          <cell r="B127" t="str">
            <v>PHE Piping</v>
          </cell>
          <cell r="C127" t="str">
            <v>WIP</v>
          </cell>
          <cell r="D127">
            <v>46386</v>
          </cell>
        </row>
        <row r="128">
          <cell r="B128" t="str">
            <v>HVAC Ducting</v>
          </cell>
          <cell r="C128" t="str">
            <v>WIP</v>
          </cell>
          <cell r="D128">
            <v>46386</v>
          </cell>
        </row>
        <row r="129">
          <cell r="B129" t="str">
            <v>Rising Main Installation</v>
          </cell>
          <cell r="C129" t="str">
            <v>WIP</v>
          </cell>
          <cell r="D129">
            <v>46386</v>
          </cell>
        </row>
        <row r="130">
          <cell r="B130" t="str">
            <v>Cable Tray &amp; Raceway installation</v>
          </cell>
          <cell r="C130" t="str">
            <v>WIP</v>
          </cell>
          <cell r="D130">
            <v>46386</v>
          </cell>
        </row>
        <row r="131">
          <cell r="B131" t="str">
            <v>Lift Installation</v>
          </cell>
          <cell r="C131" t="str">
            <v>WIP</v>
          </cell>
          <cell r="D131">
            <v>46386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D - Summary"/>
      <sheetName val="OPD - Activity wise"/>
      <sheetName val="EMR - Summary"/>
      <sheetName val="Academic"/>
      <sheetName val="EMR - Activity wise"/>
      <sheetName val="Academic (2)"/>
      <sheetName val="Type 4"/>
      <sheetName val="Type 5"/>
      <sheetName val="Type 3"/>
      <sheetName val="UG Female"/>
      <sheetName val="UGF backup"/>
      <sheetName val="EMR "/>
      <sheetName val="UG Male"/>
      <sheetName val="UG MALE backup"/>
      <sheetName val="OPD  "/>
    </sheetNames>
    <sheetDataSet>
      <sheetData sheetId="0" refreshError="1">
        <row r="6">
          <cell r="A6" t="str">
            <v>Brickwork</v>
          </cell>
          <cell r="B6">
            <v>45910</v>
          </cell>
          <cell r="C6">
            <v>46305</v>
          </cell>
          <cell r="D6">
            <v>0.95</v>
          </cell>
          <cell r="E6">
            <v>0.97</v>
          </cell>
        </row>
        <row r="7">
          <cell r="A7" t="str">
            <v>Internal Plaster</v>
          </cell>
          <cell r="B7">
            <v>45991</v>
          </cell>
          <cell r="C7">
            <v>46320</v>
          </cell>
          <cell r="D7">
            <v>0.95</v>
          </cell>
          <cell r="E7">
            <v>0.96</v>
          </cell>
        </row>
        <row r="8">
          <cell r="A8" t="str">
            <v>Joineries</v>
          </cell>
          <cell r="B8">
            <v>46047</v>
          </cell>
          <cell r="C8">
            <v>46341</v>
          </cell>
          <cell r="D8">
            <v>0.55000000000000004</v>
          </cell>
          <cell r="E8">
            <v>0.59</v>
          </cell>
        </row>
        <row r="9">
          <cell r="A9" t="str">
            <v>Fire door frame &amp; shutter</v>
          </cell>
          <cell r="B9">
            <v>46102</v>
          </cell>
          <cell r="C9">
            <v>46325</v>
          </cell>
          <cell r="D9">
            <v>0.45</v>
          </cell>
        </row>
        <row r="10">
          <cell r="A10" t="str">
            <v>Flooring &amp; Dado</v>
          </cell>
          <cell r="B10">
            <v>46009</v>
          </cell>
          <cell r="C10">
            <v>46351</v>
          </cell>
          <cell r="D10">
            <v>0.75</v>
          </cell>
          <cell r="E10">
            <v>0.78</v>
          </cell>
        </row>
        <row r="11">
          <cell r="A11" t="str">
            <v>False Ceiling</v>
          </cell>
          <cell r="B11">
            <v>46211</v>
          </cell>
          <cell r="C11">
            <v>46366</v>
          </cell>
          <cell r="D11">
            <v>0.05</v>
          </cell>
          <cell r="E11">
            <v>0.08</v>
          </cell>
        </row>
        <row r="12">
          <cell r="A12" t="str">
            <v>a) Ground Floor</v>
          </cell>
          <cell r="B12">
            <v>46211</v>
          </cell>
          <cell r="C12">
            <v>46310</v>
          </cell>
          <cell r="D12">
            <v>0.2</v>
          </cell>
        </row>
        <row r="13">
          <cell r="A13" t="str">
            <v>b) First Floor</v>
          </cell>
          <cell r="B13">
            <v>46236</v>
          </cell>
          <cell r="C13">
            <v>46323</v>
          </cell>
          <cell r="D13">
            <v>0</v>
          </cell>
        </row>
        <row r="14">
          <cell r="A14" t="str">
            <v>c) Second Floor</v>
          </cell>
          <cell r="B14">
            <v>46261</v>
          </cell>
          <cell r="C14">
            <v>46346</v>
          </cell>
          <cell r="D14">
            <v>0</v>
          </cell>
        </row>
        <row r="15">
          <cell r="A15" t="str">
            <v>d) Third Floor</v>
          </cell>
          <cell r="B15">
            <v>46286</v>
          </cell>
          <cell r="C15">
            <v>46371</v>
          </cell>
          <cell r="D15">
            <v>0</v>
          </cell>
        </row>
        <row r="16">
          <cell r="A16" t="str">
            <v>Lift facia granite</v>
          </cell>
          <cell r="B16">
            <v>46295</v>
          </cell>
          <cell r="C16">
            <v>46351</v>
          </cell>
          <cell r="D16">
            <v>0</v>
          </cell>
          <cell r="E16">
            <v>0.04</v>
          </cell>
        </row>
        <row r="17">
          <cell r="A17" t="str">
            <v>Interior Works</v>
          </cell>
          <cell r="B17">
            <v>46320</v>
          </cell>
          <cell r="C17">
            <v>46380</v>
          </cell>
          <cell r="D17">
            <v>0</v>
          </cell>
        </row>
        <row r="18">
          <cell r="A18" t="str">
            <v>SS Handrail</v>
          </cell>
          <cell r="B18">
            <v>46341</v>
          </cell>
          <cell r="C18">
            <v>46380</v>
          </cell>
          <cell r="D18">
            <v>0</v>
          </cell>
        </row>
        <row r="19">
          <cell r="A19" t="str">
            <v>External</v>
          </cell>
        </row>
        <row r="20">
          <cell r="A20" t="str">
            <v>Elevation A</v>
          </cell>
          <cell r="B20">
            <v>46116</v>
          </cell>
          <cell r="C20">
            <v>46341</v>
          </cell>
          <cell r="D20">
            <v>0.5</v>
          </cell>
          <cell r="E20">
            <v>0.54</v>
          </cell>
        </row>
        <row r="21">
          <cell r="A21" t="str">
            <v>Elevation B</v>
          </cell>
          <cell r="B21">
            <v>46191</v>
          </cell>
          <cell r="C21">
            <v>46351</v>
          </cell>
          <cell r="D21">
            <v>0.48</v>
          </cell>
          <cell r="E21">
            <v>0.53</v>
          </cell>
        </row>
        <row r="22">
          <cell r="A22" t="str">
            <v>Elevation C</v>
          </cell>
          <cell r="B22">
            <v>46244</v>
          </cell>
          <cell r="C22">
            <v>46361</v>
          </cell>
          <cell r="D22">
            <v>0.3</v>
          </cell>
          <cell r="E22">
            <v>0.33</v>
          </cell>
        </row>
        <row r="23">
          <cell r="A23" t="str">
            <v>Elevation D</v>
          </cell>
          <cell r="B23">
            <v>46259</v>
          </cell>
          <cell r="C23">
            <v>46371</v>
          </cell>
          <cell r="D23">
            <v>0.2</v>
          </cell>
          <cell r="E23">
            <v>0.25</v>
          </cell>
        </row>
        <row r="24">
          <cell r="A24" t="str">
            <v>Elevation A</v>
          </cell>
          <cell r="B24" t="e">
            <v>#REF!</v>
          </cell>
          <cell r="C24">
            <v>46315</v>
          </cell>
          <cell r="D24">
            <v>0</v>
          </cell>
        </row>
        <row r="25">
          <cell r="A25" t="str">
            <v>Elevation B</v>
          </cell>
          <cell r="B25" t="e">
            <v>#REF!</v>
          </cell>
          <cell r="C25">
            <v>46331</v>
          </cell>
          <cell r="D25">
            <v>0</v>
          </cell>
        </row>
        <row r="26">
          <cell r="A26" t="str">
            <v>Elevation C</v>
          </cell>
          <cell r="B26" t="e">
            <v>#REF!</v>
          </cell>
          <cell r="C26">
            <v>46348</v>
          </cell>
          <cell r="D26">
            <v>0</v>
          </cell>
        </row>
        <row r="27">
          <cell r="A27" t="str">
            <v>Elevation D</v>
          </cell>
          <cell r="B27" t="e">
            <v>#REF!</v>
          </cell>
          <cell r="C27">
            <v>46361</v>
          </cell>
          <cell r="D27">
            <v>0</v>
          </cell>
        </row>
        <row r="28">
          <cell r="A28" t="str">
            <v>Mechanical Electrical Plumbing ( MEP)</v>
          </cell>
        </row>
        <row r="29">
          <cell r="A29" t="str">
            <v>First Fixtures</v>
          </cell>
        </row>
        <row r="30">
          <cell r="A30" t="str">
            <v>Cable Tray Installation</v>
          </cell>
          <cell r="B30">
            <v>46093</v>
          </cell>
          <cell r="C30">
            <v>46315</v>
          </cell>
          <cell r="D30">
            <v>0.8</v>
          </cell>
          <cell r="E30">
            <v>0.83</v>
          </cell>
        </row>
        <row r="31">
          <cell r="A31" t="str">
            <v>CI/Gi Piping</v>
          </cell>
          <cell r="B31">
            <v>46050</v>
          </cell>
          <cell r="C31">
            <v>46326</v>
          </cell>
          <cell r="D31">
            <v>0.85</v>
          </cell>
          <cell r="E31">
            <v>0.88</v>
          </cell>
        </row>
        <row r="32">
          <cell r="A32" t="str">
            <v>Ducting &amp; Insulation</v>
          </cell>
          <cell r="B32">
            <v>46002</v>
          </cell>
          <cell r="C32">
            <v>46322</v>
          </cell>
          <cell r="D32">
            <v>0.87</v>
          </cell>
          <cell r="E32">
            <v>0.89</v>
          </cell>
        </row>
        <row r="33">
          <cell r="A33" t="str">
            <v>Fire Piping installation</v>
          </cell>
          <cell r="B33">
            <v>46032</v>
          </cell>
          <cell r="C33">
            <v>46320</v>
          </cell>
          <cell r="D33">
            <v>0.86</v>
          </cell>
          <cell r="E33">
            <v>0.91</v>
          </cell>
        </row>
        <row r="34">
          <cell r="A34" t="str">
            <v>MGPS Copper Piping</v>
          </cell>
          <cell r="B34">
            <v>46275</v>
          </cell>
          <cell r="C34">
            <v>46351</v>
          </cell>
          <cell r="D34">
            <v>0.21</v>
          </cell>
          <cell r="E34">
            <v>0.23</v>
          </cell>
        </row>
        <row r="35">
          <cell r="A35" t="str">
            <v>PTTS Pipe installation</v>
          </cell>
          <cell r="B35">
            <v>46275</v>
          </cell>
          <cell r="C35">
            <v>46341</v>
          </cell>
          <cell r="D35">
            <v>0.16</v>
          </cell>
          <cell r="E35">
            <v>0.18</v>
          </cell>
        </row>
        <row r="36">
          <cell r="A36" t="str">
            <v>Under deck Insulation</v>
          </cell>
          <cell r="B36">
            <v>46295</v>
          </cell>
          <cell r="C36">
            <v>46323</v>
          </cell>
          <cell r="D36">
            <v>0</v>
          </cell>
        </row>
        <row r="37">
          <cell r="A37" t="str">
            <v>Second Fix</v>
          </cell>
        </row>
        <row r="38">
          <cell r="A38" t="str">
            <v>Wiring</v>
          </cell>
          <cell r="B38">
            <v>46252</v>
          </cell>
          <cell r="C38">
            <v>46346</v>
          </cell>
          <cell r="D38">
            <v>0.38</v>
          </cell>
          <cell r="E38">
            <v>0.45</v>
          </cell>
        </row>
        <row r="39">
          <cell r="A39" t="str">
            <v>Cable Laying &amp; Panel Instt.</v>
          </cell>
          <cell r="B39">
            <v>46213</v>
          </cell>
          <cell r="C39">
            <v>46354</v>
          </cell>
          <cell r="D39">
            <v>0.45</v>
          </cell>
          <cell r="E39">
            <v>0.51</v>
          </cell>
        </row>
        <row r="40">
          <cell r="A40" t="str">
            <v>UPS Installation</v>
          </cell>
          <cell r="B40">
            <v>46300</v>
          </cell>
          <cell r="C40">
            <v>46326</v>
          </cell>
          <cell r="D40">
            <v>0</v>
          </cell>
        </row>
        <row r="41">
          <cell r="A41" t="str">
            <v>Dropper Installation</v>
          </cell>
          <cell r="B41">
            <v>46313</v>
          </cell>
          <cell r="C41">
            <v>46366</v>
          </cell>
          <cell r="D41">
            <v>0</v>
          </cell>
        </row>
        <row r="42">
          <cell r="A42" t="str">
            <v>HVAC Pipe Testing</v>
          </cell>
          <cell r="B42">
            <v>46244</v>
          </cell>
          <cell r="C42">
            <v>46336</v>
          </cell>
          <cell r="D42">
            <v>0.8</v>
          </cell>
          <cell r="E42">
            <v>0.84</v>
          </cell>
        </row>
        <row r="43">
          <cell r="A43" t="str">
            <v>AHU Connection</v>
          </cell>
          <cell r="B43">
            <v>46253</v>
          </cell>
          <cell r="C43">
            <v>46354</v>
          </cell>
          <cell r="D43">
            <v>0.42</v>
          </cell>
          <cell r="E43">
            <v>0.48</v>
          </cell>
        </row>
        <row r="44">
          <cell r="A44" t="str">
            <v>Wet Riser &amp; FHC installation</v>
          </cell>
          <cell r="B44">
            <v>46244</v>
          </cell>
          <cell r="C44">
            <v>46319</v>
          </cell>
          <cell r="D44">
            <v>0.75</v>
          </cell>
        </row>
        <row r="45">
          <cell r="A45" t="str">
            <v>CAT 6 cabling</v>
          </cell>
          <cell r="B45">
            <v>46244</v>
          </cell>
          <cell r="C45">
            <v>46341</v>
          </cell>
          <cell r="D45">
            <v>0.38</v>
          </cell>
          <cell r="E45">
            <v>0.44</v>
          </cell>
        </row>
        <row r="46">
          <cell r="A46" t="str">
            <v>PA &amp; FAS cabling</v>
          </cell>
          <cell r="B46">
            <v>46221</v>
          </cell>
          <cell r="C46">
            <v>46341</v>
          </cell>
          <cell r="D46">
            <v>0.52</v>
          </cell>
          <cell r="E46">
            <v>0.56999999999999995</v>
          </cell>
        </row>
        <row r="47">
          <cell r="A47" t="str">
            <v>Fire Panel Installation</v>
          </cell>
          <cell r="B47">
            <v>46294</v>
          </cell>
          <cell r="C47">
            <v>46310</v>
          </cell>
          <cell r="D47">
            <v>0</v>
          </cell>
        </row>
        <row r="48">
          <cell r="A48" t="str">
            <v xml:space="preserve">Network Switch </v>
          </cell>
          <cell r="B48">
            <v>46294</v>
          </cell>
          <cell r="C48">
            <v>46346</v>
          </cell>
          <cell r="D48">
            <v>0</v>
          </cell>
        </row>
        <row r="49">
          <cell r="A49" t="str">
            <v xml:space="preserve">Final Fixture </v>
          </cell>
          <cell r="B49">
            <v>46346</v>
          </cell>
          <cell r="C49">
            <v>46376</v>
          </cell>
          <cell r="D49">
            <v>0</v>
          </cell>
        </row>
        <row r="50">
          <cell r="A50" t="str">
            <v>Terrace</v>
          </cell>
        </row>
        <row r="51">
          <cell r="A51" t="str">
            <v>PHE Piping installation</v>
          </cell>
          <cell r="B51">
            <v>46305</v>
          </cell>
          <cell r="C51">
            <v>46341</v>
          </cell>
          <cell r="D51">
            <v>0</v>
          </cell>
        </row>
        <row r="52">
          <cell r="A52" t="str">
            <v>Solar Panel Installation</v>
          </cell>
          <cell r="B52">
            <v>46331</v>
          </cell>
          <cell r="C52">
            <v>46366</v>
          </cell>
          <cell r="D52">
            <v>0</v>
          </cell>
        </row>
        <row r="53">
          <cell r="A53" t="str">
            <v>Over Head Tank</v>
          </cell>
          <cell r="B53">
            <v>46256</v>
          </cell>
          <cell r="C53">
            <v>46351</v>
          </cell>
          <cell r="D53">
            <v>0.35</v>
          </cell>
          <cell r="E53">
            <v>0.44</v>
          </cell>
        </row>
        <row r="54">
          <cell r="A54" t="str">
            <v>Terrace Waterproofing</v>
          </cell>
          <cell r="B54">
            <v>46239</v>
          </cell>
          <cell r="C54">
            <v>46361</v>
          </cell>
          <cell r="D54">
            <v>0.75</v>
          </cell>
          <cell r="E54">
            <v>0.78</v>
          </cell>
        </row>
        <row r="55">
          <cell r="A55" t="str">
            <v>Truss with Polycarbonate Sheet</v>
          </cell>
          <cell r="B55">
            <v>46295</v>
          </cell>
          <cell r="C55">
            <v>46326</v>
          </cell>
          <cell r="D55">
            <v>0.6</v>
          </cell>
          <cell r="E55">
            <v>0.6</v>
          </cell>
        </row>
        <row r="56">
          <cell r="A56" t="str">
            <v>Lift Installation with slow speed</v>
          </cell>
        </row>
        <row r="57">
          <cell r="A57" t="str">
            <v xml:space="preserve">2 No.s </v>
          </cell>
          <cell r="B57">
            <v>46178</v>
          </cell>
          <cell r="C57">
            <v>46233</v>
          </cell>
          <cell r="D57">
            <v>1</v>
          </cell>
          <cell r="E57">
            <v>1</v>
          </cell>
        </row>
        <row r="58">
          <cell r="A58" t="str">
            <v>3 No.s</v>
          </cell>
          <cell r="B58">
            <v>46242</v>
          </cell>
          <cell r="C58">
            <v>46320</v>
          </cell>
          <cell r="D58">
            <v>0.65</v>
          </cell>
          <cell r="E58">
            <v>0.72</v>
          </cell>
        </row>
        <row r="59">
          <cell r="A59" t="str">
            <v xml:space="preserve">1 No. </v>
          </cell>
          <cell r="B59">
            <v>46306</v>
          </cell>
          <cell r="C59">
            <v>46354</v>
          </cell>
          <cell r="D59">
            <v>0</v>
          </cell>
        </row>
        <row r="60">
          <cell r="A60" t="str">
            <v xml:space="preserve">1 No. </v>
          </cell>
          <cell r="B60">
            <v>46341</v>
          </cell>
          <cell r="C60">
            <v>46366</v>
          </cell>
          <cell r="D60">
            <v>0</v>
          </cell>
        </row>
        <row r="61">
          <cell r="A61" t="str">
            <v>Permanent Power</v>
          </cell>
        </row>
        <row r="62">
          <cell r="A62" t="str">
            <v>ESS1 to OPD Cable Laying</v>
          </cell>
          <cell r="B62">
            <v>46294</v>
          </cell>
          <cell r="C62">
            <v>46315</v>
          </cell>
          <cell r="D62">
            <v>0</v>
          </cell>
        </row>
        <row r="63">
          <cell r="A63" t="str">
            <v>Main LT Panel Energisation</v>
          </cell>
          <cell r="B63">
            <v>46326</v>
          </cell>
          <cell r="C63">
            <v>46346</v>
          </cell>
          <cell r="D63">
            <v>0</v>
          </cell>
        </row>
        <row r="64">
          <cell r="A64" t="str">
            <v>Rising Main</v>
          </cell>
          <cell r="B64">
            <v>46323</v>
          </cell>
          <cell r="C64">
            <v>46351</v>
          </cell>
          <cell r="D64">
            <v>0</v>
          </cell>
        </row>
        <row r="65">
          <cell r="A65" t="str">
            <v>Testing with Permanent Power / Completion</v>
          </cell>
        </row>
        <row r="66">
          <cell r="A66" t="str">
            <v xml:space="preserve">Lift </v>
          </cell>
          <cell r="B66">
            <v>46357</v>
          </cell>
          <cell r="C66">
            <v>46380</v>
          </cell>
        </row>
        <row r="67">
          <cell r="A67" t="str">
            <v>IT/Data Services</v>
          </cell>
          <cell r="B67">
            <v>46351</v>
          </cell>
          <cell r="C67">
            <v>46376</v>
          </cell>
        </row>
        <row r="68">
          <cell r="A68" t="str">
            <v>Fire Control System</v>
          </cell>
          <cell r="B68">
            <v>46361</v>
          </cell>
          <cell r="C68">
            <v>46380</v>
          </cell>
        </row>
        <row r="69">
          <cell r="A69" t="str">
            <v>HVAC System</v>
          </cell>
          <cell r="B69">
            <v>46346</v>
          </cell>
          <cell r="C69">
            <v>46376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R"/>
      <sheetName val="Sheet1"/>
      <sheetName val="OPD"/>
    </sheetNames>
    <sheetDataSet>
      <sheetData sheetId="0" refreshError="1"/>
      <sheetData sheetId="1" refreshError="1"/>
      <sheetData sheetId="2" refreshError="1">
        <row r="1">
          <cell r="B1" t="str">
            <v>OPD Balance Activities Schedule (11-Sep-2026)</v>
          </cell>
        </row>
        <row r="2">
          <cell r="B2" t="str">
            <v>Activity</v>
          </cell>
          <cell r="C2" t="str">
            <v>Start</v>
          </cell>
          <cell r="D2" t="str">
            <v>End</v>
          </cell>
        </row>
        <row r="3">
          <cell r="B3" t="str">
            <v>Finishes</v>
          </cell>
        </row>
        <row r="4">
          <cell r="B4" t="str">
            <v>Brickwork</v>
          </cell>
          <cell r="C4" t="str">
            <v>Completed</v>
          </cell>
        </row>
        <row r="5">
          <cell r="B5" t="str">
            <v>Plaster</v>
          </cell>
          <cell r="C5" t="str">
            <v>WIP</v>
          </cell>
          <cell r="D5">
            <v>46320</v>
          </cell>
        </row>
        <row r="6">
          <cell r="B6" t="str">
            <v>Aluminum Joineries</v>
          </cell>
          <cell r="C6" t="str">
            <v>WIP</v>
          </cell>
          <cell r="D6">
            <v>46325</v>
          </cell>
        </row>
        <row r="7">
          <cell r="B7" t="str">
            <v>Fire door frame &amp; shutter</v>
          </cell>
          <cell r="C7" t="str">
            <v>WIP</v>
          </cell>
          <cell r="D7">
            <v>46325</v>
          </cell>
        </row>
        <row r="8">
          <cell r="B8" t="str">
            <v>Flooring &amp; Dado</v>
          </cell>
          <cell r="C8" t="str">
            <v>WIP</v>
          </cell>
          <cell r="D8">
            <v>46346</v>
          </cell>
        </row>
        <row r="9">
          <cell r="B9" t="str">
            <v>False Ceiling</v>
          </cell>
        </row>
        <row r="10">
          <cell r="B10" t="str">
            <v>a) Ground Floor</v>
          </cell>
          <cell r="C10" t="str">
            <v>WIP</v>
          </cell>
          <cell r="D10">
            <v>46310</v>
          </cell>
        </row>
        <row r="11">
          <cell r="B11" t="str">
            <v>b) First Floor</v>
          </cell>
          <cell r="C11">
            <v>46296</v>
          </cell>
          <cell r="D11">
            <v>46323</v>
          </cell>
        </row>
        <row r="12">
          <cell r="B12" t="str">
            <v>c) Second Floor</v>
          </cell>
          <cell r="C12">
            <v>46320</v>
          </cell>
          <cell r="D12">
            <v>46346</v>
          </cell>
        </row>
        <row r="13">
          <cell r="B13" t="str">
            <v>d) Third Floor</v>
          </cell>
          <cell r="C13">
            <v>46311</v>
          </cell>
          <cell r="D13">
            <v>46371</v>
          </cell>
        </row>
        <row r="14">
          <cell r="B14" t="str">
            <v>Lift facia granite</v>
          </cell>
          <cell r="C14">
            <v>46290</v>
          </cell>
          <cell r="D14">
            <v>46351</v>
          </cell>
        </row>
        <row r="15">
          <cell r="B15" t="str">
            <v>SS Handrail</v>
          </cell>
          <cell r="C15">
            <v>46310</v>
          </cell>
          <cell r="D15">
            <v>46355</v>
          </cell>
        </row>
        <row r="16">
          <cell r="B16" t="str">
            <v>Courtyard Plaster inc. Ramp</v>
          </cell>
          <cell r="C16" t="str">
            <v>WIP</v>
          </cell>
          <cell r="D16">
            <v>46325</v>
          </cell>
        </row>
        <row r="17">
          <cell r="B17" t="str">
            <v>Ramp Flooring</v>
          </cell>
          <cell r="C17">
            <v>46327</v>
          </cell>
          <cell r="D17">
            <v>46351</v>
          </cell>
        </row>
        <row r="18">
          <cell r="B18" t="str">
            <v>Over Terrace</v>
          </cell>
        </row>
        <row r="19">
          <cell r="B19" t="str">
            <v>OHT Waterproofing &amp; Tiling</v>
          </cell>
          <cell r="C19" t="str">
            <v>WIP</v>
          </cell>
        </row>
        <row r="20">
          <cell r="B20" t="str">
            <v>LMR</v>
          </cell>
          <cell r="C20" t="str">
            <v>WIP</v>
          </cell>
          <cell r="D20">
            <v>46295</v>
          </cell>
        </row>
        <row r="21">
          <cell r="B21" t="str">
            <v>Terrace Waterproofing&amp;HRT Tiles</v>
          </cell>
          <cell r="C21">
            <v>46323</v>
          </cell>
          <cell r="D21">
            <v>46368</v>
          </cell>
        </row>
        <row r="22">
          <cell r="B22" t="str">
            <v>Pedestals</v>
          </cell>
          <cell r="C22" t="str">
            <v>WIP</v>
          </cell>
          <cell r="D22">
            <v>46300</v>
          </cell>
        </row>
        <row r="23">
          <cell r="B23" t="str">
            <v>Polycarbonate Sheet</v>
          </cell>
          <cell r="C23" t="str">
            <v>WIP</v>
          </cell>
          <cell r="D23">
            <v>46315</v>
          </cell>
        </row>
        <row r="24">
          <cell r="B24" t="str">
            <v>External</v>
          </cell>
        </row>
        <row r="25">
          <cell r="B25" t="str">
            <v>Shaft brickwork &amp; plaster</v>
          </cell>
        </row>
        <row r="26">
          <cell r="B26" t="str">
            <v>Elevation C</v>
          </cell>
          <cell r="C26" t="str">
            <v>WIP</v>
          </cell>
          <cell r="D26">
            <v>46295</v>
          </cell>
        </row>
        <row r="27">
          <cell r="B27" t="str">
            <v>Elevation D</v>
          </cell>
          <cell r="C27">
            <v>46300</v>
          </cell>
          <cell r="D27">
            <v>46325</v>
          </cell>
        </row>
        <row r="28">
          <cell r="B28" t="str">
            <v>External Stone Cladding</v>
          </cell>
        </row>
        <row r="29">
          <cell r="B29" t="str">
            <v>Elevation A</v>
          </cell>
          <cell r="C29">
            <v>46301</v>
          </cell>
          <cell r="D29">
            <v>46310</v>
          </cell>
        </row>
        <row r="30">
          <cell r="B30" t="str">
            <v>Elevation B</v>
          </cell>
          <cell r="C30">
            <v>46285</v>
          </cell>
          <cell r="D30">
            <v>46305</v>
          </cell>
        </row>
        <row r="31">
          <cell r="B31" t="str">
            <v>Elevation C</v>
          </cell>
          <cell r="C31" t="str">
            <v>16-0ct</v>
          </cell>
          <cell r="D31">
            <v>46325</v>
          </cell>
        </row>
        <row r="32">
          <cell r="B32" t="str">
            <v>Elevation D</v>
          </cell>
          <cell r="C32">
            <v>46327</v>
          </cell>
          <cell r="D32">
            <v>46341</v>
          </cell>
        </row>
        <row r="33">
          <cell r="B33" t="str">
            <v>Structural Glazing</v>
          </cell>
        </row>
        <row r="34">
          <cell r="B34" t="str">
            <v>Elevation A</v>
          </cell>
          <cell r="C34">
            <v>46277</v>
          </cell>
          <cell r="D34">
            <v>46315</v>
          </cell>
        </row>
        <row r="35">
          <cell r="B35" t="str">
            <v>Elevation B</v>
          </cell>
          <cell r="C35">
            <v>46313</v>
          </cell>
          <cell r="D35">
            <v>46331</v>
          </cell>
        </row>
        <row r="36">
          <cell r="B36" t="str">
            <v>Elevation C</v>
          </cell>
          <cell r="C36">
            <v>46331</v>
          </cell>
          <cell r="D36">
            <v>46348</v>
          </cell>
        </row>
        <row r="37">
          <cell r="B37" t="str">
            <v>Elevation D</v>
          </cell>
          <cell r="C37">
            <v>46341</v>
          </cell>
          <cell r="D37">
            <v>46361</v>
          </cell>
        </row>
        <row r="38">
          <cell r="B38" t="str">
            <v>MEP</v>
          </cell>
        </row>
        <row r="39">
          <cell r="B39" t="str">
            <v>Frist Fix</v>
          </cell>
        </row>
        <row r="40">
          <cell r="B40" t="str">
            <v>Electrical</v>
          </cell>
        </row>
        <row r="41">
          <cell r="B41" t="str">
            <v>Cable Tray Installation</v>
          </cell>
          <cell r="C41" t="str">
            <v>WIP</v>
          </cell>
          <cell r="D41">
            <v>46305</v>
          </cell>
        </row>
        <row r="42">
          <cell r="B42" t="str">
            <v>PHE</v>
          </cell>
        </row>
        <row r="43">
          <cell r="B43" t="str">
            <v>CI Pipiing</v>
          </cell>
          <cell r="C43" t="str">
            <v>WIP</v>
          </cell>
          <cell r="D43">
            <v>46293</v>
          </cell>
        </row>
        <row r="44">
          <cell r="B44" t="str">
            <v>GI Piping</v>
          </cell>
          <cell r="C44" t="str">
            <v>WIP</v>
          </cell>
          <cell r="D44">
            <v>46315</v>
          </cell>
        </row>
        <row r="45">
          <cell r="B45" t="str">
            <v>HVAC</v>
          </cell>
        </row>
        <row r="46">
          <cell r="B46" t="str">
            <v>Ducting &amp; Insulation</v>
          </cell>
          <cell r="C46" t="str">
            <v>WIP</v>
          </cell>
          <cell r="D46">
            <v>46285</v>
          </cell>
        </row>
        <row r="47">
          <cell r="B47" t="str">
            <v>Firefighting</v>
          </cell>
        </row>
        <row r="48">
          <cell r="B48" t="str">
            <v>Piping installation</v>
          </cell>
          <cell r="C48" t="str">
            <v>WIP</v>
          </cell>
          <cell r="D48">
            <v>46285</v>
          </cell>
        </row>
        <row r="49">
          <cell r="B49" t="str">
            <v>MGPS</v>
          </cell>
        </row>
        <row r="50">
          <cell r="B50" t="str">
            <v>Copper Pipning</v>
          </cell>
          <cell r="C50" t="str">
            <v>WIP</v>
          </cell>
          <cell r="D50">
            <v>46325</v>
          </cell>
        </row>
        <row r="51">
          <cell r="B51" t="str">
            <v>PTTS</v>
          </cell>
        </row>
        <row r="52">
          <cell r="B52" t="str">
            <v>Pipe installation</v>
          </cell>
          <cell r="C52" t="str">
            <v>WIP</v>
          </cell>
          <cell r="D52">
            <v>46325</v>
          </cell>
        </row>
        <row r="53">
          <cell r="B53" t="str">
            <v>Second Fix</v>
          </cell>
        </row>
        <row r="54">
          <cell r="B54" t="str">
            <v>Electrical</v>
          </cell>
        </row>
        <row r="55">
          <cell r="B55" t="str">
            <v>Wiring</v>
          </cell>
          <cell r="C55" t="str">
            <v>WIP</v>
          </cell>
          <cell r="D55">
            <v>46325</v>
          </cell>
        </row>
        <row r="56">
          <cell r="B56" t="str">
            <v>Cable Laying &amp; Panel Installation</v>
          </cell>
          <cell r="C56" t="str">
            <v>WIP</v>
          </cell>
          <cell r="D56">
            <v>46325</v>
          </cell>
        </row>
        <row r="57">
          <cell r="B57" t="str">
            <v>UPS Installation</v>
          </cell>
          <cell r="C57">
            <v>46291</v>
          </cell>
          <cell r="D57">
            <v>46305</v>
          </cell>
        </row>
        <row r="58">
          <cell r="B58" t="str">
            <v>DB Dresssing</v>
          </cell>
          <cell r="C58" t="str">
            <v>WIP</v>
          </cell>
          <cell r="D58">
            <v>46336</v>
          </cell>
        </row>
        <row r="59">
          <cell r="B59" t="str">
            <v>PHE</v>
          </cell>
        </row>
        <row r="60">
          <cell r="B60" t="str">
            <v>Cister&amp; Sensor Fixing</v>
          </cell>
          <cell r="C60" t="str">
            <v>WIP</v>
          </cell>
          <cell r="D60">
            <v>46288</v>
          </cell>
        </row>
        <row r="61">
          <cell r="B61" t="str">
            <v>HVAC</v>
          </cell>
        </row>
        <row r="62">
          <cell r="B62" t="str">
            <v>Duct testinfg &amp; dropper for diffusere</v>
          </cell>
          <cell r="C62" t="str">
            <v>WIP</v>
          </cell>
          <cell r="D62">
            <v>46366</v>
          </cell>
        </row>
        <row r="63">
          <cell r="B63" t="str">
            <v>Pipe Testing</v>
          </cell>
          <cell r="C63" t="str">
            <v>WIP</v>
          </cell>
          <cell r="D63">
            <v>46310</v>
          </cell>
        </row>
        <row r="64">
          <cell r="B64" t="str">
            <v>AHU Connection</v>
          </cell>
          <cell r="C64" t="str">
            <v>WIP</v>
          </cell>
          <cell r="D64">
            <v>46311</v>
          </cell>
        </row>
        <row r="65">
          <cell r="B65" t="str">
            <v>Firefighting</v>
          </cell>
        </row>
        <row r="66">
          <cell r="B66" t="str">
            <v>Sprinkler Flexible connection &amp; testing</v>
          </cell>
          <cell r="C66" t="str">
            <v>WIP</v>
          </cell>
          <cell r="D66">
            <v>46340</v>
          </cell>
        </row>
        <row r="67">
          <cell r="B67" t="str">
            <v>Wet Riser &amp; FHC installation</v>
          </cell>
          <cell r="C67" t="str">
            <v>WIP</v>
          </cell>
          <cell r="D67">
            <v>46319</v>
          </cell>
        </row>
        <row r="68">
          <cell r="B68" t="str">
            <v>ELV</v>
          </cell>
        </row>
        <row r="69">
          <cell r="B69" t="str">
            <v>CAT 6 cabling</v>
          </cell>
          <cell r="C69" t="str">
            <v>WIP</v>
          </cell>
          <cell r="D69">
            <v>46341</v>
          </cell>
        </row>
        <row r="70">
          <cell r="B70" t="str">
            <v>PA &amp; FAS cabling</v>
          </cell>
          <cell r="C70" t="str">
            <v>WIP</v>
          </cell>
          <cell r="D70">
            <v>46341</v>
          </cell>
        </row>
        <row r="71">
          <cell r="B71" t="str">
            <v>Fire Panel Installation</v>
          </cell>
          <cell r="C71">
            <v>46291</v>
          </cell>
          <cell r="D71">
            <v>46295</v>
          </cell>
        </row>
        <row r="72">
          <cell r="B72" t="str">
            <v>Network Switch Installation &amp; connection</v>
          </cell>
          <cell r="C72" t="str">
            <v>WIP</v>
          </cell>
          <cell r="D72">
            <v>46346</v>
          </cell>
        </row>
        <row r="73">
          <cell r="B73" t="str">
            <v>MGPS</v>
          </cell>
        </row>
        <row r="74">
          <cell r="B74" t="str">
            <v>Copper Pipe testing</v>
          </cell>
          <cell r="C74">
            <v>46310</v>
          </cell>
          <cell r="D74">
            <v>46371</v>
          </cell>
        </row>
        <row r="75">
          <cell r="B75" t="str">
            <v>PTTS</v>
          </cell>
        </row>
        <row r="76">
          <cell r="B76" t="str">
            <v>Pipe accessories fixing &amp; testing</v>
          </cell>
          <cell r="C76" t="str">
            <v>WIP</v>
          </cell>
          <cell r="D76">
            <v>46386</v>
          </cell>
        </row>
        <row r="77">
          <cell r="B77" t="str">
            <v>Final Fixture</v>
          </cell>
        </row>
        <row r="78">
          <cell r="B78" t="str">
            <v>Electrical</v>
          </cell>
        </row>
        <row r="79">
          <cell r="B79" t="str">
            <v>Switch Socket &amp; light fixture Installation</v>
          </cell>
          <cell r="C79" t="str">
            <v>WIP</v>
          </cell>
          <cell r="D79">
            <v>46376</v>
          </cell>
        </row>
        <row r="80">
          <cell r="B80" t="str">
            <v>Cable termination &amp; panel testing</v>
          </cell>
          <cell r="C80">
            <v>46293</v>
          </cell>
          <cell r="D80">
            <v>46348</v>
          </cell>
        </row>
        <row r="81">
          <cell r="B81" t="str">
            <v>UPS testing &amp; commissioning</v>
          </cell>
          <cell r="C81">
            <v>46305</v>
          </cell>
          <cell r="D81">
            <v>46310</v>
          </cell>
        </row>
        <row r="82">
          <cell r="B82" t="str">
            <v>DB testing</v>
          </cell>
          <cell r="C82" t="str">
            <v>WIP</v>
          </cell>
          <cell r="D82">
            <v>46325</v>
          </cell>
        </row>
        <row r="83">
          <cell r="B83" t="str">
            <v>PHE</v>
          </cell>
        </row>
        <row r="84">
          <cell r="B84" t="str">
            <v>Fixtures Installation</v>
          </cell>
          <cell r="C84">
            <v>46305</v>
          </cell>
          <cell r="D84">
            <v>46376</v>
          </cell>
        </row>
        <row r="85">
          <cell r="B85" t="str">
            <v>HVAC</v>
          </cell>
        </row>
        <row r="86">
          <cell r="B86" t="str">
            <v>Diffuser Installation</v>
          </cell>
          <cell r="C86">
            <v>46310</v>
          </cell>
          <cell r="D86">
            <v>46371</v>
          </cell>
        </row>
        <row r="87">
          <cell r="B87" t="str">
            <v>AHU Testing</v>
          </cell>
          <cell r="C87">
            <v>46310</v>
          </cell>
          <cell r="D87">
            <v>46381</v>
          </cell>
        </row>
        <row r="88">
          <cell r="B88" t="str">
            <v>Firefighting</v>
          </cell>
        </row>
        <row r="89">
          <cell r="B89" t="str">
            <v>Sprinkler Fixing</v>
          </cell>
          <cell r="C89" t="str">
            <v>WIP</v>
          </cell>
          <cell r="D89">
            <v>46351</v>
          </cell>
        </row>
        <row r="90">
          <cell r="B90" t="str">
            <v>ELV</v>
          </cell>
        </row>
        <row r="91">
          <cell r="B91" t="str">
            <v>Fire Alarm &amp; PA Device Fixing</v>
          </cell>
          <cell r="C91">
            <v>46315</v>
          </cell>
          <cell r="D91">
            <v>46381</v>
          </cell>
        </row>
        <row r="92">
          <cell r="B92" t="str">
            <v>Telephone &amp; Data Socket Fixing</v>
          </cell>
          <cell r="C92">
            <v>46315</v>
          </cell>
          <cell r="D92">
            <v>46381</v>
          </cell>
        </row>
        <row r="93">
          <cell r="B93" t="str">
            <v>Fire Panel testing &amp; device addressing</v>
          </cell>
          <cell r="C93">
            <v>46315</v>
          </cell>
          <cell r="D93">
            <v>46381</v>
          </cell>
        </row>
        <row r="94">
          <cell r="B94" t="str">
            <v>Network Switch testing</v>
          </cell>
          <cell r="C94">
            <v>46315</v>
          </cell>
          <cell r="D94">
            <v>46381</v>
          </cell>
        </row>
        <row r="95">
          <cell r="B95" t="str">
            <v>QMS , HMIS , Biometric , etc.</v>
          </cell>
          <cell r="C95">
            <v>46315</v>
          </cell>
          <cell r="D95">
            <v>46381</v>
          </cell>
        </row>
        <row r="96">
          <cell r="B96" t="str">
            <v>MGPS</v>
          </cell>
        </row>
        <row r="97">
          <cell r="B97" t="str">
            <v>Outlet Installation</v>
          </cell>
          <cell r="C97">
            <v>46315</v>
          </cell>
          <cell r="D97">
            <v>46386</v>
          </cell>
        </row>
        <row r="98">
          <cell r="B98" t="str">
            <v>PTTS</v>
          </cell>
        </row>
        <row r="99">
          <cell r="B99" t="str">
            <v>PTTS station installation</v>
          </cell>
          <cell r="C99">
            <v>46315</v>
          </cell>
          <cell r="D99">
            <v>46386</v>
          </cell>
        </row>
        <row r="100">
          <cell r="B100" t="str">
            <v>Terrace</v>
          </cell>
        </row>
        <row r="101">
          <cell r="B101" t="str">
            <v>PHE Piping installation</v>
          </cell>
          <cell r="C101" t="str">
            <v>WIP</v>
          </cell>
          <cell r="D101">
            <v>46322</v>
          </cell>
        </row>
        <row r="102">
          <cell r="B102" t="str">
            <v>Cable Tray, Raceway Installation &amp; cable laying</v>
          </cell>
          <cell r="C102">
            <v>46300</v>
          </cell>
          <cell r="D102">
            <v>46320</v>
          </cell>
        </row>
        <row r="103">
          <cell r="B103" t="str">
            <v>Solar Panel Installation</v>
          </cell>
          <cell r="C103">
            <v>46300</v>
          </cell>
          <cell r="D103">
            <v>46320</v>
          </cell>
        </row>
        <row r="104">
          <cell r="B104" t="str">
            <v>DDC Panel Installation</v>
          </cell>
          <cell r="C104">
            <v>46300</v>
          </cell>
          <cell r="D104">
            <v>46320</v>
          </cell>
        </row>
        <row r="105">
          <cell r="B105" t="str">
            <v>Booster Panel Installation</v>
          </cell>
          <cell r="C105">
            <v>46300</v>
          </cell>
          <cell r="D105">
            <v>46310</v>
          </cell>
        </row>
        <row r="106">
          <cell r="B106" t="str">
            <v>Shaft</v>
          </cell>
        </row>
        <row r="107">
          <cell r="B107" t="str">
            <v>PHE Piping</v>
          </cell>
          <cell r="C107" t="str">
            <v>WIP</v>
          </cell>
          <cell r="D107">
            <v>46325</v>
          </cell>
        </row>
        <row r="108">
          <cell r="B108" t="str">
            <v>HVAC Ducting</v>
          </cell>
          <cell r="C108" t="str">
            <v>WIP</v>
          </cell>
          <cell r="D108">
            <v>46356</v>
          </cell>
        </row>
        <row r="109">
          <cell r="B109" t="str">
            <v>Rising Main Installation</v>
          </cell>
          <cell r="C109">
            <v>46310</v>
          </cell>
          <cell r="D109">
            <v>46320</v>
          </cell>
        </row>
        <row r="110">
          <cell r="B110" t="str">
            <v>Cable Tray &amp; Raceway installation</v>
          </cell>
          <cell r="C110">
            <v>46305</v>
          </cell>
          <cell r="D110">
            <v>46320</v>
          </cell>
        </row>
        <row r="111">
          <cell r="B111" t="str">
            <v>Lift Installation</v>
          </cell>
          <cell r="C111" t="str">
            <v>WIP</v>
          </cell>
          <cell r="D111">
            <v>46356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F1E7-D143-4426-956A-D8EB1E90A69B}">
  <dimension ref="B1:F13"/>
  <sheetViews>
    <sheetView workbookViewId="0">
      <selection activeCell="B21" sqref="B21"/>
    </sheetView>
  </sheetViews>
  <sheetFormatPr baseColWidth="10" defaultColWidth="9.33203125" defaultRowHeight="15" x14ac:dyDescent="0.2"/>
  <cols>
    <col min="1" max="1" width="9.33203125" style="1"/>
    <col min="2" max="2" width="33.33203125" style="1" bestFit="1" customWidth="1"/>
    <col min="3" max="3" width="19.5" style="1" customWidth="1"/>
    <col min="4" max="4" width="9.33203125" style="1"/>
    <col min="5" max="5" width="11.83203125" style="1" customWidth="1"/>
    <col min="6" max="6" width="16.6640625" style="1" bestFit="1" customWidth="1"/>
    <col min="7" max="16384" width="9.33203125" style="1"/>
  </cols>
  <sheetData>
    <row r="1" spans="2:6" x14ac:dyDescent="0.2">
      <c r="B1" s="100" t="s">
        <v>0</v>
      </c>
      <c r="C1" s="100" t="s">
        <v>1</v>
      </c>
    </row>
    <row r="2" spans="2:6" x14ac:dyDescent="0.2">
      <c r="B2" s="101"/>
      <c r="C2" s="101"/>
    </row>
    <row r="3" spans="2:6" ht="18" x14ac:dyDescent="0.2">
      <c r="B3" s="2" t="s">
        <v>2</v>
      </c>
      <c r="C3" s="3">
        <v>46305</v>
      </c>
      <c r="E3" s="4" t="s">
        <v>3</v>
      </c>
      <c r="F3" s="5" t="s">
        <v>4</v>
      </c>
    </row>
    <row r="4" spans="2:6" ht="18" x14ac:dyDescent="0.2">
      <c r="B4" s="6" t="s">
        <v>5</v>
      </c>
      <c r="C4" s="7">
        <v>46321</v>
      </c>
      <c r="E4" s="8" t="s">
        <v>6</v>
      </c>
      <c r="F4" s="3">
        <v>46310</v>
      </c>
    </row>
    <row r="5" spans="2:6" ht="18" x14ac:dyDescent="0.2">
      <c r="B5" s="2" t="s">
        <v>7</v>
      </c>
      <c r="C5" s="3">
        <v>46341</v>
      </c>
      <c r="E5" s="8" t="s">
        <v>8</v>
      </c>
      <c r="F5" s="3">
        <v>46346</v>
      </c>
    </row>
    <row r="6" spans="2:6" ht="18" x14ac:dyDescent="0.2">
      <c r="B6" s="6" t="s">
        <v>9</v>
      </c>
      <c r="C6" s="7">
        <v>46351</v>
      </c>
      <c r="E6" s="9" t="s">
        <v>10</v>
      </c>
      <c r="F6" s="3">
        <v>46366</v>
      </c>
    </row>
    <row r="7" spans="2:6" ht="18" x14ac:dyDescent="0.2">
      <c r="B7" s="2" t="s">
        <v>11</v>
      </c>
      <c r="C7" s="3">
        <v>46366</v>
      </c>
      <c r="E7" s="10" t="s">
        <v>12</v>
      </c>
      <c r="F7" s="3">
        <v>46381</v>
      </c>
    </row>
    <row r="8" spans="2:6" ht="18" x14ac:dyDescent="0.2">
      <c r="B8" s="6" t="s">
        <v>13</v>
      </c>
      <c r="C8" s="7">
        <v>46374</v>
      </c>
      <c r="E8" s="11"/>
      <c r="F8" s="11"/>
    </row>
    <row r="9" spans="2:6" ht="18" x14ac:dyDescent="0.2">
      <c r="B9" s="2" t="s">
        <v>14</v>
      </c>
      <c r="C9" s="3">
        <v>46356</v>
      </c>
    </row>
    <row r="10" spans="2:6" ht="18" x14ac:dyDescent="0.2">
      <c r="B10" s="6" t="s">
        <v>15</v>
      </c>
      <c r="C10" s="7">
        <v>46371</v>
      </c>
    </row>
    <row r="11" spans="2:6" ht="18" x14ac:dyDescent="0.2">
      <c r="B11" s="2" t="s">
        <v>16</v>
      </c>
      <c r="C11" s="3">
        <v>46380</v>
      </c>
    </row>
    <row r="12" spans="2:6" ht="18" x14ac:dyDescent="0.2">
      <c r="B12" s="6" t="s">
        <v>17</v>
      </c>
      <c r="C12" s="7">
        <v>46361</v>
      </c>
    </row>
    <row r="13" spans="2:6" ht="18" x14ac:dyDescent="0.2">
      <c r="B13" s="2" t="s">
        <v>18</v>
      </c>
      <c r="C13" s="3">
        <v>46371</v>
      </c>
    </row>
  </sheetData>
  <mergeCells count="2"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CA57-9AAC-45C5-A1E2-A1A0DF46F132}">
  <dimension ref="A1:Z87"/>
  <sheetViews>
    <sheetView topLeftCell="A70" workbookViewId="0">
      <selection activeCell="A88" sqref="A88:XFD1048576"/>
    </sheetView>
  </sheetViews>
  <sheetFormatPr baseColWidth="10" defaultColWidth="3" defaultRowHeight="16" x14ac:dyDescent="0.2"/>
  <cols>
    <col min="1" max="1" width="43.1640625" style="65" customWidth="1"/>
    <col min="2" max="3" width="14.5" style="66" customWidth="1"/>
    <col min="4" max="4" width="14.5" style="21" customWidth="1"/>
    <col min="5" max="6" width="14.5" style="67" hidden="1" customWidth="1"/>
    <col min="7" max="8" width="14.5" style="68" customWidth="1"/>
    <col min="9" max="12" width="14.5" style="67" customWidth="1"/>
    <col min="13" max="14" width="10.33203125" style="32" customWidth="1"/>
    <col min="15" max="20" width="10.33203125" style="32" bestFit="1" customWidth="1"/>
    <col min="21" max="26" width="3" style="21"/>
    <col min="27" max="27" width="9.5" style="21" bestFit="1" customWidth="1"/>
    <col min="28" max="16384" width="3" style="21"/>
  </cols>
  <sheetData>
    <row r="1" spans="1:24" ht="30.75" customHeight="1" x14ac:dyDescent="0.2">
      <c r="A1" s="12" t="s">
        <v>19</v>
      </c>
      <c r="B1" s="13"/>
      <c r="C1" s="13"/>
      <c r="D1" s="14"/>
      <c r="E1" s="15"/>
      <c r="F1" s="15"/>
      <c r="G1" s="16"/>
      <c r="H1" s="16"/>
      <c r="I1" s="15"/>
      <c r="J1" s="15"/>
      <c r="K1" s="15"/>
      <c r="L1" s="15"/>
      <c r="M1" s="17"/>
      <c r="N1" s="17"/>
      <c r="O1" s="17"/>
      <c r="P1" s="17"/>
      <c r="Q1" s="18"/>
      <c r="R1" s="18"/>
      <c r="S1" s="18"/>
      <c r="T1" s="19"/>
      <c r="U1" s="20"/>
    </row>
    <row r="2" spans="1:24" s="23" customFormat="1" ht="15.75" customHeight="1" x14ac:dyDescent="0.25">
      <c r="A2" s="95" t="s">
        <v>20</v>
      </c>
      <c r="B2" s="102" t="s">
        <v>21</v>
      </c>
      <c r="C2" s="102" t="s">
        <v>4</v>
      </c>
      <c r="D2" s="96" t="s">
        <v>22</v>
      </c>
      <c r="E2" s="97" t="s">
        <v>23</v>
      </c>
      <c r="F2" s="94" t="s">
        <v>24</v>
      </c>
      <c r="G2" s="99" t="s">
        <v>25</v>
      </c>
      <c r="H2" s="99" t="s">
        <v>26</v>
      </c>
      <c r="I2" s="94" t="s">
        <v>27</v>
      </c>
      <c r="J2" s="94" t="s">
        <v>28</v>
      </c>
      <c r="K2" s="94" t="s">
        <v>29</v>
      </c>
      <c r="L2" s="94" t="s">
        <v>30</v>
      </c>
      <c r="M2" s="22"/>
      <c r="N2" s="22"/>
      <c r="O2" s="22"/>
      <c r="P2" s="22"/>
      <c r="Q2" s="22"/>
      <c r="R2" s="22"/>
      <c r="S2" s="22"/>
      <c r="T2" s="22"/>
    </row>
    <row r="3" spans="1:24" ht="38.25" customHeight="1" x14ac:dyDescent="0.2">
      <c r="A3" s="95"/>
      <c r="B3" s="103"/>
      <c r="C3" s="103"/>
      <c r="D3" s="104"/>
      <c r="E3" s="98"/>
      <c r="F3" s="97"/>
      <c r="G3" s="105"/>
      <c r="H3" s="105"/>
      <c r="I3" s="97"/>
      <c r="J3" s="97"/>
      <c r="K3" s="97"/>
      <c r="L3" s="97"/>
      <c r="M3" s="24">
        <v>46174</v>
      </c>
      <c r="N3" s="24">
        <f t="shared" ref="N3:S3" si="0">EDATE(M3,1)</f>
        <v>46204</v>
      </c>
      <c r="O3" s="24">
        <f t="shared" si="0"/>
        <v>46235</v>
      </c>
      <c r="P3" s="24">
        <f t="shared" si="0"/>
        <v>46266</v>
      </c>
      <c r="Q3" s="24">
        <f t="shared" si="0"/>
        <v>46296</v>
      </c>
      <c r="R3" s="24">
        <f t="shared" si="0"/>
        <v>46327</v>
      </c>
      <c r="S3" s="24">
        <f t="shared" si="0"/>
        <v>46357</v>
      </c>
      <c r="T3" s="25"/>
    </row>
    <row r="4" spans="1:24" ht="26.25" customHeight="1" x14ac:dyDescent="0.2">
      <c r="A4" s="26" t="s">
        <v>31</v>
      </c>
      <c r="B4" s="27"/>
      <c r="C4" s="27"/>
      <c r="D4" s="28"/>
      <c r="E4" s="29"/>
      <c r="F4" s="29"/>
      <c r="G4" s="30"/>
      <c r="H4" s="30">
        <v>1</v>
      </c>
      <c r="I4" s="29"/>
      <c r="J4" s="29"/>
      <c r="K4" s="29"/>
      <c r="L4" s="29"/>
      <c r="M4" s="31"/>
      <c r="N4" s="31"/>
      <c r="O4" s="31"/>
    </row>
    <row r="5" spans="1:24" ht="30" customHeight="1" x14ac:dyDescent="0.2">
      <c r="A5" s="33" t="s">
        <v>32</v>
      </c>
      <c r="B5" s="34"/>
      <c r="C5" s="34"/>
      <c r="D5" s="35"/>
      <c r="E5" s="36"/>
      <c r="F5" s="36"/>
      <c r="G5" s="37"/>
      <c r="H5" s="37"/>
      <c r="I5" s="36"/>
      <c r="J5" s="36"/>
      <c r="K5" s="36"/>
      <c r="L5" s="36"/>
    </row>
    <row r="6" spans="1:24" ht="34.5" customHeight="1" x14ac:dyDescent="0.2">
      <c r="A6" s="38" t="s">
        <v>33</v>
      </c>
      <c r="B6" s="39">
        <v>45910</v>
      </c>
      <c r="C6" s="39">
        <v>46305</v>
      </c>
      <c r="D6" s="40" t="s">
        <v>34</v>
      </c>
      <c r="E6" s="41">
        <v>4151</v>
      </c>
      <c r="F6" s="41">
        <v>3943.45</v>
      </c>
      <c r="G6" s="42">
        <f>VLOOKUP(A6,'[3]OPD - Summary'!$A$6:$E$69,5,FALSE)</f>
        <v>0.97</v>
      </c>
      <c r="H6" s="42">
        <v>0.97299999999999998</v>
      </c>
      <c r="I6" s="41">
        <f t="shared" ref="I6:I18" si="1">E6-E6*H6</f>
        <v>112.07700000000023</v>
      </c>
      <c r="J6" s="41">
        <f t="shared" ref="J6:J18" ca="1" si="2">I6/(C6-(IF(B6&gt;TODAY(),B6,TODAY())))</f>
        <v>37.359000000000073</v>
      </c>
      <c r="K6" s="41">
        <f ca="1">ROUND(J6/1,0)</f>
        <v>37</v>
      </c>
      <c r="L6" s="41">
        <v>18</v>
      </c>
    </row>
    <row r="7" spans="1:24" ht="30" customHeight="1" x14ac:dyDescent="0.2">
      <c r="A7" s="38" t="s">
        <v>35</v>
      </c>
      <c r="B7" s="39">
        <v>45991</v>
      </c>
      <c r="C7" s="39">
        <v>46320</v>
      </c>
      <c r="D7" s="40" t="s">
        <v>36</v>
      </c>
      <c r="E7" s="41">
        <v>50950</v>
      </c>
      <c r="F7" s="41">
        <v>48402.5</v>
      </c>
      <c r="G7" s="42">
        <f>VLOOKUP(A7,'[3]OPD - Summary'!$A$6:$E$69,5,FALSE)</f>
        <v>0.96</v>
      </c>
      <c r="H7" s="42">
        <v>0.96499999999999997</v>
      </c>
      <c r="I7" s="41">
        <f t="shared" si="1"/>
        <v>1783.25</v>
      </c>
      <c r="J7" s="41">
        <f t="shared" ca="1" si="2"/>
        <v>99.069444444444443</v>
      </c>
      <c r="K7" s="41">
        <f ca="1">ROUND(J7/10,0)</f>
        <v>10</v>
      </c>
      <c r="L7" s="41">
        <v>7</v>
      </c>
    </row>
    <row r="8" spans="1:24" ht="62.25" customHeight="1" x14ac:dyDescent="0.2">
      <c r="A8" s="38" t="s">
        <v>37</v>
      </c>
      <c r="B8" s="39">
        <v>46047</v>
      </c>
      <c r="C8" s="39">
        <v>46341</v>
      </c>
      <c r="D8" s="40" t="s">
        <v>38</v>
      </c>
      <c r="E8" s="41">
        <f>206+511</f>
        <v>717</v>
      </c>
      <c r="F8" s="41">
        <v>316</v>
      </c>
      <c r="G8" s="42">
        <f>VLOOKUP(A8,'[3]OPD - Summary'!$A$6:$E$69,5,FALSE)</f>
        <v>0.59</v>
      </c>
      <c r="H8" s="42">
        <v>0.61</v>
      </c>
      <c r="I8" s="41">
        <f t="shared" si="1"/>
        <v>279.63</v>
      </c>
      <c r="J8" s="41">
        <f t="shared" ca="1" si="2"/>
        <v>7.17</v>
      </c>
      <c r="K8" s="41">
        <f ca="1">ROUND(J8/3,0)</f>
        <v>2</v>
      </c>
      <c r="L8" s="41">
        <v>5</v>
      </c>
    </row>
    <row r="9" spans="1:24" ht="18.75" hidden="1" customHeight="1" x14ac:dyDescent="0.2">
      <c r="A9" s="38" t="s">
        <v>39</v>
      </c>
      <c r="B9" s="39">
        <v>46102</v>
      </c>
      <c r="C9" s="39">
        <f>VLOOKUP(A9,[4]OPD!$B$1:$D$111,3,FALSE)</f>
        <v>46325</v>
      </c>
      <c r="D9" s="40"/>
      <c r="E9" s="41"/>
      <c r="F9" s="41">
        <v>0</v>
      </c>
      <c r="G9" s="42" t="e">
        <f>VLOOKUP(A9,'[3]OPD - Summary'!$A$6:$E$69,5,FALSE)</f>
        <v>#REF!</v>
      </c>
      <c r="H9" s="42"/>
      <c r="I9" s="41">
        <f t="shared" si="1"/>
        <v>0</v>
      </c>
      <c r="J9" s="41">
        <f t="shared" ca="1" si="2"/>
        <v>0</v>
      </c>
      <c r="K9" s="41"/>
      <c r="L9" s="41"/>
      <c r="T9" s="21"/>
    </row>
    <row r="10" spans="1:24" ht="20" x14ac:dyDescent="0.2">
      <c r="A10" s="38" t="s">
        <v>40</v>
      </c>
      <c r="B10" s="39">
        <v>46009</v>
      </c>
      <c r="C10" s="39">
        <v>46351</v>
      </c>
      <c r="D10" s="40" t="s">
        <v>36</v>
      </c>
      <c r="E10" s="41">
        <v>29200</v>
      </c>
      <c r="F10" s="41">
        <v>21900</v>
      </c>
      <c r="G10" s="42">
        <f>VLOOKUP(A10,'[3]OPD - Summary'!$A$6:$E$69,5,FALSE)</f>
        <v>0.78</v>
      </c>
      <c r="H10" s="42">
        <v>0.79200000000000004</v>
      </c>
      <c r="I10" s="41">
        <f t="shared" si="1"/>
        <v>6073.5999999999985</v>
      </c>
      <c r="J10" s="41">
        <f t="shared" ca="1" si="2"/>
        <v>123.95102040816323</v>
      </c>
      <c r="K10" s="41">
        <f ca="1">ROUND(J10/3,0)</f>
        <v>41</v>
      </c>
      <c r="L10" s="41">
        <v>30</v>
      </c>
      <c r="T10" s="21"/>
    </row>
    <row r="11" spans="1:24" ht="20" x14ac:dyDescent="0.2">
      <c r="A11" s="38" t="s">
        <v>11</v>
      </c>
      <c r="B11" s="39">
        <f>MIN(B12:B15)</f>
        <v>46211</v>
      </c>
      <c r="C11" s="39">
        <v>46366</v>
      </c>
      <c r="D11" s="40" t="s">
        <v>36</v>
      </c>
      <c r="E11" s="41">
        <f>16500-1260</f>
        <v>15240</v>
      </c>
      <c r="F11" s="41">
        <v>762</v>
      </c>
      <c r="G11" s="42">
        <v>0.28000000000000003</v>
      </c>
      <c r="H11" s="42">
        <v>0.28999999999999998</v>
      </c>
      <c r="I11" s="41">
        <f t="shared" si="1"/>
        <v>10820.400000000001</v>
      </c>
      <c r="J11" s="41">
        <f t="shared" ca="1" si="2"/>
        <v>169.06875000000002</v>
      </c>
      <c r="K11" s="41">
        <f ca="1">ROUND(J11/12,0)</f>
        <v>14</v>
      </c>
      <c r="L11" s="41">
        <v>14</v>
      </c>
      <c r="U11" s="32"/>
      <c r="V11" s="32"/>
      <c r="W11" s="32"/>
      <c r="X11" s="32"/>
    </row>
    <row r="12" spans="1:24" ht="30" hidden="1" customHeight="1" x14ac:dyDescent="0.2">
      <c r="A12" s="38" t="s">
        <v>41</v>
      </c>
      <c r="B12" s="39">
        <v>46211</v>
      </c>
      <c r="C12" s="39">
        <f>VLOOKUP(A12,[4]OPD!$B$1:$D$111,3,FALSE)</f>
        <v>46310</v>
      </c>
      <c r="D12" s="40"/>
      <c r="E12" s="41"/>
      <c r="F12" s="41">
        <v>0</v>
      </c>
      <c r="G12" s="42" t="e">
        <f>VLOOKUP(A12,'[3]OPD - Summary'!$A$6:$E$69,5,FALSE)</f>
        <v>#REF!</v>
      </c>
      <c r="H12" s="42"/>
      <c r="I12" s="41">
        <f t="shared" si="1"/>
        <v>0</v>
      </c>
      <c r="J12" s="41">
        <f t="shared" ca="1" si="2"/>
        <v>0</v>
      </c>
      <c r="K12" s="41"/>
      <c r="L12" s="41"/>
      <c r="U12" s="32"/>
      <c r="V12" s="32"/>
      <c r="W12" s="32"/>
      <c r="X12" s="32"/>
    </row>
    <row r="13" spans="1:24" ht="30" hidden="1" customHeight="1" x14ac:dyDescent="0.2">
      <c r="A13" s="38" t="s">
        <v>42</v>
      </c>
      <c r="B13" s="39">
        <f>B12+25</f>
        <v>46236</v>
      </c>
      <c r="C13" s="39">
        <f>VLOOKUP(A13,[4]OPD!$B$1:$D$111,3,FALSE)</f>
        <v>46323</v>
      </c>
      <c r="D13" s="40"/>
      <c r="E13" s="41"/>
      <c r="F13" s="41">
        <v>0</v>
      </c>
      <c r="G13" s="42" t="e">
        <f>VLOOKUP(A13,'[3]OPD - Summary'!$A$6:$E$69,5,FALSE)</f>
        <v>#REF!</v>
      </c>
      <c r="H13" s="42"/>
      <c r="I13" s="41">
        <f t="shared" si="1"/>
        <v>0</v>
      </c>
      <c r="J13" s="41">
        <f t="shared" ca="1" si="2"/>
        <v>0</v>
      </c>
      <c r="K13" s="41"/>
      <c r="L13" s="41"/>
      <c r="U13" s="32"/>
      <c r="V13" s="32"/>
      <c r="W13" s="32"/>
      <c r="X13" s="32"/>
    </row>
    <row r="14" spans="1:24" ht="30" hidden="1" customHeight="1" x14ac:dyDescent="0.2">
      <c r="A14" s="38" t="s">
        <v>43</v>
      </c>
      <c r="B14" s="39">
        <f t="shared" ref="B14:B15" si="3">B13+25</f>
        <v>46261</v>
      </c>
      <c r="C14" s="39">
        <f>VLOOKUP(A14,[4]OPD!$B$1:$D$111,3,FALSE)</f>
        <v>46346</v>
      </c>
      <c r="D14" s="40"/>
      <c r="E14" s="41"/>
      <c r="F14" s="41">
        <v>0</v>
      </c>
      <c r="G14" s="42" t="e">
        <f>VLOOKUP(A14,'[3]OPD - Summary'!$A$6:$E$69,5,FALSE)</f>
        <v>#REF!</v>
      </c>
      <c r="H14" s="42"/>
      <c r="I14" s="41">
        <f t="shared" si="1"/>
        <v>0</v>
      </c>
      <c r="J14" s="41">
        <f t="shared" ca="1" si="2"/>
        <v>0</v>
      </c>
      <c r="K14" s="41"/>
      <c r="L14" s="41"/>
      <c r="U14" s="32"/>
      <c r="V14" s="32"/>
      <c r="W14" s="32"/>
      <c r="X14" s="32"/>
    </row>
    <row r="15" spans="1:24" ht="30" hidden="1" customHeight="1" x14ac:dyDescent="0.2">
      <c r="A15" s="38" t="s">
        <v>44</v>
      </c>
      <c r="B15" s="39">
        <f t="shared" si="3"/>
        <v>46286</v>
      </c>
      <c r="C15" s="39">
        <f>VLOOKUP(A15,[4]OPD!$B$1:$D$111,3,FALSE)</f>
        <v>46371</v>
      </c>
      <c r="D15" s="40"/>
      <c r="E15" s="41"/>
      <c r="F15" s="41">
        <v>0</v>
      </c>
      <c r="G15" s="42" t="e">
        <f>VLOOKUP(A15,'[3]OPD - Summary'!$A$6:$E$69,5,FALSE)</f>
        <v>#REF!</v>
      </c>
      <c r="H15" s="42"/>
      <c r="I15" s="41">
        <f t="shared" si="1"/>
        <v>0</v>
      </c>
      <c r="J15" s="41">
        <f t="shared" ca="1" si="2"/>
        <v>0</v>
      </c>
      <c r="K15" s="41"/>
      <c r="L15" s="41"/>
      <c r="U15" s="32"/>
      <c r="V15" s="32"/>
      <c r="W15" s="32"/>
      <c r="X15" s="32"/>
    </row>
    <row r="16" spans="1:24" ht="30" customHeight="1" x14ac:dyDescent="0.2">
      <c r="A16" s="38" t="s">
        <v>45</v>
      </c>
      <c r="B16" s="39">
        <v>46295</v>
      </c>
      <c r="C16" s="39">
        <f>VLOOKUP(A16,[4]OPD!$B$1:$D$111,3,FALSE)</f>
        <v>46351</v>
      </c>
      <c r="D16" s="40" t="s">
        <v>36</v>
      </c>
      <c r="E16" s="41">
        <f>60*4</f>
        <v>240</v>
      </c>
      <c r="F16" s="41">
        <v>0</v>
      </c>
      <c r="G16" s="42">
        <f>VLOOKUP(A16,'[3]OPD - Summary'!$A$6:$E$69,5,FALSE)</f>
        <v>0.04</v>
      </c>
      <c r="H16" s="42">
        <v>0.04</v>
      </c>
      <c r="I16" s="41">
        <f t="shared" si="1"/>
        <v>230.4</v>
      </c>
      <c r="J16" s="41">
        <f t="shared" ca="1" si="2"/>
        <v>4.702040816326531</v>
      </c>
      <c r="K16" s="41">
        <f ca="1">ROUND(J16/6,0)</f>
        <v>1</v>
      </c>
      <c r="L16" s="41">
        <v>0</v>
      </c>
      <c r="U16" s="32"/>
      <c r="V16" s="32"/>
      <c r="W16" s="32"/>
      <c r="X16" s="32"/>
    </row>
    <row r="17" spans="1:26" ht="30" customHeight="1" x14ac:dyDescent="0.2">
      <c r="A17" s="43" t="s">
        <v>46</v>
      </c>
      <c r="B17" s="39">
        <v>46320</v>
      </c>
      <c r="C17" s="39">
        <v>46380</v>
      </c>
      <c r="D17" s="40" t="s">
        <v>36</v>
      </c>
      <c r="E17" s="41">
        <v>640</v>
      </c>
      <c r="F17" s="41">
        <v>0</v>
      </c>
      <c r="G17" s="44" t="e">
        <f>VLOOKUP(A17,'[3]OPD - Summary'!$A$6:$E$69,5,FALSE)</f>
        <v>#REF!</v>
      </c>
      <c r="H17" s="44">
        <v>0</v>
      </c>
      <c r="I17" s="41">
        <f t="shared" si="1"/>
        <v>640</v>
      </c>
      <c r="J17" s="41">
        <f t="shared" ca="1" si="2"/>
        <v>10.666666666666666</v>
      </c>
      <c r="K17" s="41">
        <f ca="1">ROUND(J17/8,0)</f>
        <v>1</v>
      </c>
      <c r="L17" s="41">
        <v>0</v>
      </c>
    </row>
    <row r="18" spans="1:26" ht="30" customHeight="1" x14ac:dyDescent="0.2">
      <c r="A18" s="43" t="s">
        <v>47</v>
      </c>
      <c r="B18" s="39">
        <v>46341</v>
      </c>
      <c r="C18" s="39">
        <v>46380</v>
      </c>
      <c r="D18" s="40" t="s">
        <v>48</v>
      </c>
      <c r="E18" s="41">
        <f>96*4+45+21+25</f>
        <v>475</v>
      </c>
      <c r="F18" s="41">
        <v>0</v>
      </c>
      <c r="G18" s="44" t="e">
        <f>VLOOKUP(A18,'[3]OPD - Summary'!$A$6:$E$69,5,FALSE)</f>
        <v>#REF!</v>
      </c>
      <c r="H18" s="44">
        <v>0</v>
      </c>
      <c r="I18" s="41">
        <f t="shared" si="1"/>
        <v>475</v>
      </c>
      <c r="J18" s="41">
        <f t="shared" ca="1" si="2"/>
        <v>12.179487179487179</v>
      </c>
      <c r="K18" s="41">
        <f ca="1">ROUND(J18/9,0)</f>
        <v>1</v>
      </c>
      <c r="L18" s="41">
        <v>0</v>
      </c>
    </row>
    <row r="19" spans="1:26" ht="30" customHeight="1" x14ac:dyDescent="0.2">
      <c r="A19" s="45" t="s">
        <v>49</v>
      </c>
      <c r="B19" s="46"/>
      <c r="C19" s="46"/>
      <c r="D19" s="47"/>
      <c r="E19" s="48"/>
      <c r="F19" s="48"/>
      <c r="G19" s="49"/>
      <c r="H19" s="49"/>
      <c r="I19" s="48"/>
      <c r="J19" s="48"/>
      <c r="K19" s="48"/>
      <c r="L19" s="48"/>
    </row>
    <row r="20" spans="1:26" s="32" customFormat="1" ht="30" customHeight="1" x14ac:dyDescent="0.2">
      <c r="A20" s="38" t="s">
        <v>50</v>
      </c>
      <c r="B20" s="39">
        <v>46116</v>
      </c>
      <c r="C20" s="39">
        <v>46341</v>
      </c>
      <c r="D20" s="40" t="s">
        <v>36</v>
      </c>
      <c r="E20" s="41">
        <f>SUMPRODUCT($C$21:$C$26,E21:E26)</f>
        <v>934.86339130434772</v>
      </c>
      <c r="F20" s="41">
        <f>SUMPRODUCT($C$21:$C$26,F21:F26)</f>
        <v>541.25</v>
      </c>
      <c r="G20" s="42">
        <f>VLOOKUP(A20,'[3]OPD - Summary'!$A$6:$E$69,5,FALSE)</f>
        <v>0.54</v>
      </c>
      <c r="H20" s="42">
        <v>0.54200000000000004</v>
      </c>
      <c r="I20" s="41">
        <f t="shared" ref="I20:I41" si="4">E20-E20*H20</f>
        <v>428.16743321739119</v>
      </c>
      <c r="J20" s="41">
        <f t="shared" ref="J20:J41" ca="1" si="5">I20/(C20-(IF(B20&gt;TODAY(),B20,TODAY())))</f>
        <v>10.978652133779262</v>
      </c>
      <c r="K20" s="41">
        <f ca="1">ROUND(J20/4,0)</f>
        <v>3</v>
      </c>
      <c r="L20" s="50">
        <v>2</v>
      </c>
      <c r="U20" s="21"/>
      <c r="V20" s="21"/>
      <c r="W20" s="21"/>
      <c r="X20" s="21"/>
      <c r="Y20" s="21"/>
      <c r="Z20" s="21"/>
    </row>
    <row r="21" spans="1:26" s="32" customFormat="1" ht="30" hidden="1" customHeight="1" x14ac:dyDescent="0.2">
      <c r="A21" s="51" t="s">
        <v>33</v>
      </c>
      <c r="B21" s="39"/>
      <c r="C21" s="39">
        <v>0.25</v>
      </c>
      <c r="D21" s="40" t="s">
        <v>36</v>
      </c>
      <c r="E21" s="41">
        <f>92.56/0.115</f>
        <v>804.86956521739125</v>
      </c>
      <c r="F21" s="41">
        <v>805</v>
      </c>
      <c r="G21" s="42">
        <f>VLOOKUP(A21,'[3]OPD - Summary'!$A$6:$E$69,5,FALSE)</f>
        <v>0.97</v>
      </c>
      <c r="H21" s="42"/>
      <c r="I21" s="41">
        <f t="shared" si="4"/>
        <v>804.86956521739125</v>
      </c>
      <c r="J21" s="41">
        <f t="shared" ca="1" si="5"/>
        <v>-1.7383134875407328E-2</v>
      </c>
      <c r="K21" s="41"/>
      <c r="L21" s="41"/>
      <c r="U21" s="21"/>
      <c r="V21" s="21"/>
      <c r="W21" s="21"/>
      <c r="X21" s="21"/>
      <c r="Y21" s="21"/>
      <c r="Z21" s="21"/>
    </row>
    <row r="22" spans="1:26" s="32" customFormat="1" ht="30" hidden="1" customHeight="1" x14ac:dyDescent="0.2">
      <c r="A22" s="51" t="s">
        <v>51</v>
      </c>
      <c r="B22" s="39"/>
      <c r="C22" s="39">
        <v>0.25</v>
      </c>
      <c r="D22" s="40" t="s">
        <v>36</v>
      </c>
      <c r="E22" s="41">
        <f>973+642</f>
        <v>1615</v>
      </c>
      <c r="F22" s="41">
        <v>1360</v>
      </c>
      <c r="G22" s="42" t="e">
        <f>VLOOKUP(A22,'[3]OPD - Summary'!$A$6:$E$69,5,FALSE)</f>
        <v>#N/A</v>
      </c>
      <c r="H22" s="42"/>
      <c r="I22" s="41">
        <f t="shared" si="4"/>
        <v>1615</v>
      </c>
      <c r="J22" s="41">
        <f t="shared" ca="1" si="5"/>
        <v>-3.4879891148822666E-2</v>
      </c>
      <c r="K22" s="41"/>
      <c r="L22" s="41"/>
      <c r="U22" s="21"/>
      <c r="V22" s="21"/>
      <c r="W22" s="21"/>
      <c r="X22" s="21"/>
      <c r="Y22" s="21"/>
      <c r="Z22" s="21"/>
    </row>
    <row r="23" spans="1:26" s="32" customFormat="1" ht="30" hidden="1" customHeight="1" x14ac:dyDescent="0.2">
      <c r="A23" s="51" t="s">
        <v>52</v>
      </c>
      <c r="B23" s="39"/>
      <c r="C23" s="39">
        <v>0.1</v>
      </c>
      <c r="D23" s="40" t="s">
        <v>36</v>
      </c>
      <c r="E23" s="41">
        <v>345</v>
      </c>
      <c r="F23" s="41">
        <v>0</v>
      </c>
      <c r="G23" s="42" t="e">
        <f>VLOOKUP(A23,'[3]OPD - Summary'!$A$6:$E$69,5,FALSE)</f>
        <v>#N/A</v>
      </c>
      <c r="H23" s="42"/>
      <c r="I23" s="41">
        <f t="shared" si="4"/>
        <v>345</v>
      </c>
      <c r="J23" s="41">
        <f t="shared" ca="1" si="5"/>
        <v>-7.4510981190836663E-3</v>
      </c>
      <c r="K23" s="41"/>
      <c r="L23" s="41"/>
      <c r="U23" s="21"/>
      <c r="V23" s="21"/>
      <c r="W23" s="21"/>
      <c r="X23" s="21"/>
      <c r="Y23" s="21"/>
      <c r="Z23" s="21"/>
    </row>
    <row r="24" spans="1:26" s="32" customFormat="1" ht="30" hidden="1" customHeight="1" x14ac:dyDescent="0.2">
      <c r="A24" s="51" t="s">
        <v>53</v>
      </c>
      <c r="B24" s="39"/>
      <c r="C24" s="39">
        <v>0.1</v>
      </c>
      <c r="D24" s="40" t="s">
        <v>36</v>
      </c>
      <c r="E24" s="41">
        <v>345</v>
      </c>
      <c r="F24" s="41">
        <v>0</v>
      </c>
      <c r="G24" s="42" t="e">
        <f>VLOOKUP(A24,'[3]OPD - Summary'!$A$6:$E$69,5,FALSE)</f>
        <v>#N/A</v>
      </c>
      <c r="H24" s="42"/>
      <c r="I24" s="41">
        <f t="shared" si="4"/>
        <v>345</v>
      </c>
      <c r="J24" s="41">
        <f t="shared" ca="1" si="5"/>
        <v>-7.4510981190836663E-3</v>
      </c>
      <c r="K24" s="41"/>
      <c r="L24" s="41"/>
      <c r="U24" s="21"/>
      <c r="V24" s="21"/>
      <c r="W24" s="21"/>
      <c r="X24" s="21"/>
      <c r="Y24" s="21"/>
      <c r="Z24" s="21"/>
    </row>
    <row r="25" spans="1:26" s="32" customFormat="1" ht="30" hidden="1" customHeight="1" x14ac:dyDescent="0.2">
      <c r="A25" s="51" t="s">
        <v>54</v>
      </c>
      <c r="B25" s="39"/>
      <c r="C25" s="39">
        <v>0.2</v>
      </c>
      <c r="D25" s="40" t="s">
        <v>36</v>
      </c>
      <c r="E25" s="41">
        <f>28*0.96*20.7+13.46*8.4</f>
        <v>669.4799999999999</v>
      </c>
      <c r="F25" s="41">
        <v>0</v>
      </c>
      <c r="G25" s="42" t="e">
        <f>VLOOKUP(A25,'[3]OPD - Summary'!$A$6:$E$69,5,FALSE)</f>
        <v>#N/A</v>
      </c>
      <c r="H25" s="42"/>
      <c r="I25" s="41">
        <f t="shared" si="4"/>
        <v>669.4799999999999</v>
      </c>
      <c r="J25" s="41">
        <f t="shared" ca="1" si="5"/>
        <v>-1.4459049108242009E-2</v>
      </c>
      <c r="K25" s="41"/>
      <c r="L25" s="41"/>
      <c r="U25" s="21"/>
      <c r="V25" s="21"/>
      <c r="W25" s="21"/>
      <c r="X25" s="21"/>
      <c r="Y25" s="21"/>
      <c r="Z25" s="21"/>
    </row>
    <row r="26" spans="1:26" s="32" customFormat="1" ht="30" hidden="1" customHeight="1" x14ac:dyDescent="0.2">
      <c r="A26" s="51" t="s">
        <v>55</v>
      </c>
      <c r="B26" s="39"/>
      <c r="C26" s="39">
        <v>0.1</v>
      </c>
      <c r="D26" s="40" t="s">
        <v>36</v>
      </c>
      <c r="E26" s="41">
        <f>E22-E24</f>
        <v>1270</v>
      </c>
      <c r="F26" s="41">
        <v>0</v>
      </c>
      <c r="G26" s="42" t="e">
        <f>VLOOKUP(A26,'[3]OPD - Summary'!$A$6:$E$69,5,FALSE)</f>
        <v>#N/A</v>
      </c>
      <c r="H26" s="42"/>
      <c r="I26" s="41">
        <f t="shared" si="4"/>
        <v>1270</v>
      </c>
      <c r="J26" s="41">
        <f t="shared" ca="1" si="5"/>
        <v>-2.7428680032568858E-2</v>
      </c>
      <c r="K26" s="41"/>
      <c r="L26" s="41"/>
      <c r="U26" s="21"/>
      <c r="V26" s="21"/>
      <c r="W26" s="21"/>
      <c r="X26" s="21"/>
      <c r="Y26" s="21"/>
      <c r="Z26" s="21"/>
    </row>
    <row r="27" spans="1:26" s="32" customFormat="1" ht="30" customHeight="1" x14ac:dyDescent="0.2">
      <c r="A27" s="38" t="s">
        <v>56</v>
      </c>
      <c r="B27" s="39">
        <v>46191</v>
      </c>
      <c r="C27" s="39">
        <v>46351</v>
      </c>
      <c r="D27" s="40" t="s">
        <v>36</v>
      </c>
      <c r="E27" s="41">
        <f>SUMPRODUCT($C$28:$C$33,E28:E33)</f>
        <v>447.4735652173913</v>
      </c>
      <c r="F27" s="41">
        <f>SUMPRODUCT($C$28:$C$33,F28:F33)</f>
        <v>258.36956521739131</v>
      </c>
      <c r="G27" s="42">
        <f>VLOOKUP(A27,'[3]OPD - Summary'!$A$6:$E$69,5,FALSE)</f>
        <v>0.53</v>
      </c>
      <c r="H27" s="42">
        <v>0.56000000000000005</v>
      </c>
      <c r="I27" s="41">
        <f t="shared" si="4"/>
        <v>196.88836869565213</v>
      </c>
      <c r="J27" s="41">
        <f t="shared" ca="1" si="5"/>
        <v>4.0181299733806561</v>
      </c>
      <c r="K27" s="41">
        <f ca="1">ROUND(J27/4,0)</f>
        <v>1</v>
      </c>
      <c r="L27" s="50">
        <v>3</v>
      </c>
      <c r="U27" s="21"/>
      <c r="V27" s="21"/>
      <c r="W27" s="21"/>
      <c r="X27" s="21"/>
      <c r="Y27" s="21"/>
      <c r="Z27" s="21"/>
    </row>
    <row r="28" spans="1:26" s="32" customFormat="1" ht="30" hidden="1" customHeight="1" x14ac:dyDescent="0.2">
      <c r="A28" s="51" t="s">
        <v>33</v>
      </c>
      <c r="B28" s="39"/>
      <c r="C28" s="39">
        <v>0.25</v>
      </c>
      <c r="D28" s="40" t="s">
        <v>36</v>
      </c>
      <c r="E28" s="41">
        <f>51/0.115</f>
        <v>443.47826086956519</v>
      </c>
      <c r="F28" s="41">
        <f>E28</f>
        <v>443.47826086956519</v>
      </c>
      <c r="G28" s="42">
        <f>VLOOKUP(A28,'[3]OPD - Summary'!$A$6:$E$69,5,FALSE)</f>
        <v>0.97</v>
      </c>
      <c r="H28" s="42"/>
      <c r="I28" s="41">
        <f t="shared" si="4"/>
        <v>443.47826086956519</v>
      </c>
      <c r="J28" s="41">
        <f t="shared" ca="1" si="5"/>
        <v>-9.5780021461297944E-3</v>
      </c>
      <c r="K28" s="50"/>
      <c r="L28" s="50"/>
      <c r="U28" s="21"/>
      <c r="V28" s="21"/>
      <c r="W28" s="21"/>
      <c r="X28" s="21"/>
      <c r="Y28" s="21"/>
      <c r="Z28" s="21"/>
    </row>
    <row r="29" spans="1:26" s="32" customFormat="1" ht="30" hidden="1" customHeight="1" x14ac:dyDescent="0.2">
      <c r="A29" s="51" t="s">
        <v>51</v>
      </c>
      <c r="B29" s="39"/>
      <c r="C29" s="39">
        <v>0.25</v>
      </c>
      <c r="D29" s="40" t="s">
        <v>36</v>
      </c>
      <c r="E29" s="41">
        <v>780</v>
      </c>
      <c r="F29" s="41">
        <v>590</v>
      </c>
      <c r="G29" s="42" t="e">
        <f>VLOOKUP(A29,'[3]OPD - Summary'!$A$6:$E$69,5,FALSE)</f>
        <v>#N/A</v>
      </c>
      <c r="H29" s="42"/>
      <c r="I29" s="41">
        <f t="shared" si="4"/>
        <v>780</v>
      </c>
      <c r="J29" s="41">
        <f t="shared" ca="1" si="5"/>
        <v>-1.6846015539369461E-2</v>
      </c>
      <c r="K29" s="50"/>
      <c r="L29" s="50"/>
      <c r="U29" s="21"/>
      <c r="V29" s="21"/>
      <c r="W29" s="21"/>
      <c r="X29" s="21"/>
      <c r="Y29" s="21"/>
      <c r="Z29" s="21"/>
    </row>
    <row r="30" spans="1:26" s="32" customFormat="1" ht="30" hidden="1" customHeight="1" x14ac:dyDescent="0.2">
      <c r="A30" s="51" t="s">
        <v>52</v>
      </c>
      <c r="B30" s="39"/>
      <c r="C30" s="39">
        <v>0.1</v>
      </c>
      <c r="D30" s="40" t="s">
        <v>36</v>
      </c>
      <c r="E30" s="41">
        <v>215</v>
      </c>
      <c r="F30" s="41">
        <v>0</v>
      </c>
      <c r="G30" s="42" t="e">
        <f>VLOOKUP(A30,'[3]OPD - Summary'!$A$6:$E$69,5,FALSE)</f>
        <v>#N/A</v>
      </c>
      <c r="H30" s="42"/>
      <c r="I30" s="41">
        <f t="shared" si="4"/>
        <v>215</v>
      </c>
      <c r="J30" s="41">
        <f t="shared" ca="1" si="5"/>
        <v>-4.6434379582695308E-3</v>
      </c>
      <c r="K30" s="50"/>
      <c r="L30" s="50"/>
      <c r="U30" s="21"/>
      <c r="V30" s="21"/>
      <c r="W30" s="21"/>
      <c r="X30" s="21"/>
      <c r="Y30" s="21"/>
      <c r="Z30" s="21"/>
    </row>
    <row r="31" spans="1:26" s="32" customFormat="1" ht="30" hidden="1" customHeight="1" x14ac:dyDescent="0.2">
      <c r="A31" s="51" t="s">
        <v>53</v>
      </c>
      <c r="B31" s="39"/>
      <c r="C31" s="39">
        <v>0.1</v>
      </c>
      <c r="D31" s="40" t="s">
        <v>36</v>
      </c>
      <c r="E31" s="41">
        <v>215</v>
      </c>
      <c r="F31" s="41">
        <v>0</v>
      </c>
      <c r="G31" s="42" t="e">
        <f>VLOOKUP(A31,'[3]OPD - Summary'!$A$6:$E$69,5,FALSE)</f>
        <v>#N/A</v>
      </c>
      <c r="H31" s="42"/>
      <c r="I31" s="41">
        <f t="shared" si="4"/>
        <v>215</v>
      </c>
      <c r="J31" s="41">
        <f t="shared" ca="1" si="5"/>
        <v>-4.6434379582695308E-3</v>
      </c>
      <c r="K31" s="50"/>
      <c r="L31" s="50"/>
      <c r="U31" s="21"/>
      <c r="V31" s="21"/>
      <c r="W31" s="21"/>
      <c r="X31" s="21"/>
      <c r="Y31" s="21"/>
      <c r="Z31" s="21"/>
    </row>
    <row r="32" spans="1:26" s="32" customFormat="1" ht="30" hidden="1" customHeight="1" x14ac:dyDescent="0.2">
      <c r="A32" s="51" t="s">
        <v>54</v>
      </c>
      <c r="B32" s="39"/>
      <c r="C32" s="39">
        <v>0.2</v>
      </c>
      <c r="D32" s="40" t="s">
        <v>36</v>
      </c>
      <c r="E32" s="41">
        <f>16*2.05*8.4</f>
        <v>275.52</v>
      </c>
      <c r="F32" s="41">
        <v>0</v>
      </c>
      <c r="G32" s="42" t="e">
        <f>VLOOKUP(A32,'[3]OPD - Summary'!$A$6:$E$69,5,FALSE)</f>
        <v>#N/A</v>
      </c>
      <c r="H32" s="42"/>
      <c r="I32" s="41">
        <f t="shared" si="4"/>
        <v>275.52</v>
      </c>
      <c r="J32" s="41">
        <f t="shared" ca="1" si="5"/>
        <v>-5.9505246016353566E-3</v>
      </c>
      <c r="K32" s="50"/>
      <c r="L32" s="50"/>
      <c r="U32" s="21"/>
      <c r="V32" s="21"/>
      <c r="W32" s="21"/>
      <c r="X32" s="21"/>
      <c r="Y32" s="21"/>
      <c r="Z32" s="21"/>
    </row>
    <row r="33" spans="1:26" s="32" customFormat="1" ht="30" hidden="1" customHeight="1" x14ac:dyDescent="0.2">
      <c r="A33" s="51" t="s">
        <v>55</v>
      </c>
      <c r="B33" s="39"/>
      <c r="C33" s="39">
        <v>0.1</v>
      </c>
      <c r="D33" s="40" t="s">
        <v>36</v>
      </c>
      <c r="E33" s="41">
        <v>435</v>
      </c>
      <c r="F33" s="41">
        <v>0</v>
      </c>
      <c r="G33" s="42" t="e">
        <f>VLOOKUP(A33,'[3]OPD - Summary'!$A$6:$E$69,5,FALSE)</f>
        <v>#N/A</v>
      </c>
      <c r="H33" s="42"/>
      <c r="I33" s="41">
        <f t="shared" si="4"/>
        <v>435</v>
      </c>
      <c r="J33" s="41">
        <f t="shared" ca="1" si="5"/>
        <v>-9.3948628458011448E-3</v>
      </c>
      <c r="K33" s="50"/>
      <c r="L33" s="50"/>
      <c r="U33" s="21"/>
      <c r="V33" s="21"/>
      <c r="W33" s="21"/>
      <c r="X33" s="21"/>
      <c r="Y33" s="21"/>
      <c r="Z33" s="21"/>
    </row>
    <row r="34" spans="1:26" s="32" customFormat="1" ht="30" customHeight="1" x14ac:dyDescent="0.2">
      <c r="A34" s="38" t="s">
        <v>57</v>
      </c>
      <c r="B34" s="39">
        <v>46244</v>
      </c>
      <c r="C34" s="39">
        <v>46361</v>
      </c>
      <c r="D34" s="40" t="s">
        <v>36</v>
      </c>
      <c r="E34" s="41">
        <v>564</v>
      </c>
      <c r="F34" s="41">
        <v>180</v>
      </c>
      <c r="G34" s="42">
        <f>VLOOKUP(A34,'[3]OPD - Summary'!$A$6:$E$69,5,FALSE)</f>
        <v>0.33</v>
      </c>
      <c r="H34" s="42">
        <v>0.34</v>
      </c>
      <c r="I34" s="41">
        <f t="shared" si="4"/>
        <v>372.24</v>
      </c>
      <c r="J34" s="41">
        <f t="shared" ca="1" si="5"/>
        <v>6.3091525423728818</v>
      </c>
      <c r="K34" s="41">
        <f ca="1">ROUND(J34/4,0)</f>
        <v>2</v>
      </c>
      <c r="L34" s="50">
        <v>2</v>
      </c>
      <c r="U34" s="21"/>
      <c r="V34" s="21"/>
      <c r="W34" s="21"/>
      <c r="X34" s="21"/>
      <c r="Y34" s="21"/>
      <c r="Z34" s="21"/>
    </row>
    <row r="35" spans="1:26" s="32" customFormat="1" ht="30" hidden="1" customHeight="1" x14ac:dyDescent="0.2">
      <c r="A35" s="51" t="s">
        <v>33</v>
      </c>
      <c r="B35" s="39"/>
      <c r="C35" s="39">
        <v>0.25</v>
      </c>
      <c r="D35" s="40"/>
      <c r="E35" s="41"/>
      <c r="F35" s="41"/>
      <c r="G35" s="42">
        <f>VLOOKUP(A35,'[3]OPD - Summary'!$A$6:$E$69,5,FALSE)</f>
        <v>0.97</v>
      </c>
      <c r="H35" s="42"/>
      <c r="I35" s="41">
        <f t="shared" si="4"/>
        <v>0</v>
      </c>
      <c r="J35" s="41">
        <f t="shared" ca="1" si="5"/>
        <v>0</v>
      </c>
      <c r="K35" s="50"/>
      <c r="L35" s="50"/>
      <c r="U35" s="21"/>
      <c r="V35" s="21"/>
      <c r="W35" s="21"/>
      <c r="X35" s="21"/>
      <c r="Y35" s="21"/>
      <c r="Z35" s="21"/>
    </row>
    <row r="36" spans="1:26" s="32" customFormat="1" ht="30" hidden="1" customHeight="1" x14ac:dyDescent="0.2">
      <c r="A36" s="51" t="s">
        <v>51</v>
      </c>
      <c r="B36" s="39"/>
      <c r="C36" s="39">
        <v>0.25</v>
      </c>
      <c r="D36" s="40"/>
      <c r="E36" s="41"/>
      <c r="F36" s="41"/>
      <c r="G36" s="42" t="e">
        <f>VLOOKUP(A36,'[3]OPD - Summary'!$A$6:$E$69,5,FALSE)</f>
        <v>#N/A</v>
      </c>
      <c r="H36" s="42"/>
      <c r="I36" s="41">
        <f t="shared" si="4"/>
        <v>0</v>
      </c>
      <c r="J36" s="41">
        <f t="shared" ca="1" si="5"/>
        <v>0</v>
      </c>
      <c r="K36" s="50"/>
      <c r="L36" s="50"/>
      <c r="U36" s="21"/>
      <c r="V36" s="21"/>
      <c r="W36" s="21"/>
      <c r="X36" s="21"/>
      <c r="Y36" s="21"/>
      <c r="Z36" s="21"/>
    </row>
    <row r="37" spans="1:26" s="32" customFormat="1" ht="30" hidden="1" customHeight="1" x14ac:dyDescent="0.2">
      <c r="A37" s="51" t="s">
        <v>52</v>
      </c>
      <c r="B37" s="39"/>
      <c r="C37" s="39">
        <v>0.1</v>
      </c>
      <c r="D37" s="40"/>
      <c r="E37" s="41"/>
      <c r="F37" s="41"/>
      <c r="G37" s="42" t="e">
        <f>VLOOKUP(A37,'[3]OPD - Summary'!$A$6:$E$69,5,FALSE)</f>
        <v>#N/A</v>
      </c>
      <c r="H37" s="42"/>
      <c r="I37" s="41">
        <f t="shared" si="4"/>
        <v>0</v>
      </c>
      <c r="J37" s="41">
        <f t="shared" ca="1" si="5"/>
        <v>0</v>
      </c>
      <c r="K37" s="50"/>
      <c r="L37" s="50"/>
      <c r="U37" s="21"/>
      <c r="V37" s="21"/>
      <c r="W37" s="21"/>
      <c r="X37" s="21"/>
      <c r="Y37" s="21"/>
      <c r="Z37" s="21"/>
    </row>
    <row r="38" spans="1:26" s="32" customFormat="1" ht="30" hidden="1" customHeight="1" x14ac:dyDescent="0.2">
      <c r="A38" s="51" t="s">
        <v>53</v>
      </c>
      <c r="B38" s="39"/>
      <c r="C38" s="39">
        <v>0.1</v>
      </c>
      <c r="D38" s="40"/>
      <c r="E38" s="41"/>
      <c r="F38" s="41"/>
      <c r="G38" s="42" t="e">
        <f>VLOOKUP(A38,'[3]OPD - Summary'!$A$6:$E$69,5,FALSE)</f>
        <v>#N/A</v>
      </c>
      <c r="H38" s="42"/>
      <c r="I38" s="41">
        <f t="shared" si="4"/>
        <v>0</v>
      </c>
      <c r="J38" s="41">
        <f t="shared" ca="1" si="5"/>
        <v>0</v>
      </c>
      <c r="K38" s="50"/>
      <c r="L38" s="50"/>
      <c r="U38" s="21"/>
      <c r="V38" s="21"/>
      <c r="W38" s="21"/>
      <c r="X38" s="21"/>
      <c r="Y38" s="21"/>
      <c r="Z38" s="21"/>
    </row>
    <row r="39" spans="1:26" s="32" customFormat="1" ht="30" hidden="1" customHeight="1" x14ac:dyDescent="0.2">
      <c r="A39" s="51" t="s">
        <v>54</v>
      </c>
      <c r="B39" s="39"/>
      <c r="C39" s="39">
        <v>0.2</v>
      </c>
      <c r="D39" s="40"/>
      <c r="E39" s="41"/>
      <c r="F39" s="41"/>
      <c r="G39" s="42" t="e">
        <f>VLOOKUP(A39,'[3]OPD - Summary'!$A$6:$E$69,5,FALSE)</f>
        <v>#N/A</v>
      </c>
      <c r="H39" s="42"/>
      <c r="I39" s="41">
        <f t="shared" si="4"/>
        <v>0</v>
      </c>
      <c r="J39" s="41">
        <f t="shared" ca="1" si="5"/>
        <v>0</v>
      </c>
      <c r="K39" s="50"/>
      <c r="L39" s="50"/>
      <c r="U39" s="21"/>
      <c r="V39" s="21"/>
      <c r="W39" s="21"/>
      <c r="X39" s="21"/>
      <c r="Y39" s="21"/>
      <c r="Z39" s="21"/>
    </row>
    <row r="40" spans="1:26" s="32" customFormat="1" ht="30" hidden="1" customHeight="1" x14ac:dyDescent="0.2">
      <c r="A40" s="51" t="s">
        <v>55</v>
      </c>
      <c r="B40" s="39"/>
      <c r="C40" s="39">
        <v>0.1</v>
      </c>
      <c r="D40" s="40"/>
      <c r="E40" s="41"/>
      <c r="F40" s="41"/>
      <c r="G40" s="42" t="e">
        <f>VLOOKUP(A40,'[3]OPD - Summary'!$A$6:$E$69,5,FALSE)</f>
        <v>#N/A</v>
      </c>
      <c r="H40" s="42"/>
      <c r="I40" s="41">
        <f t="shared" si="4"/>
        <v>0</v>
      </c>
      <c r="J40" s="41">
        <f t="shared" ca="1" si="5"/>
        <v>0</v>
      </c>
      <c r="K40" s="50"/>
      <c r="L40" s="50"/>
      <c r="U40" s="21"/>
      <c r="V40" s="21"/>
      <c r="W40" s="21"/>
      <c r="X40" s="21"/>
      <c r="Y40" s="21"/>
      <c r="Z40" s="21"/>
    </row>
    <row r="41" spans="1:26" s="32" customFormat="1" ht="30" customHeight="1" x14ac:dyDescent="0.2">
      <c r="A41" s="38" t="s">
        <v>58</v>
      </c>
      <c r="B41" s="39">
        <v>46259</v>
      </c>
      <c r="C41" s="39">
        <v>46371</v>
      </c>
      <c r="D41" s="40" t="s">
        <v>36</v>
      </c>
      <c r="E41" s="41">
        <v>431</v>
      </c>
      <c r="F41" s="41">
        <v>106</v>
      </c>
      <c r="G41" s="42">
        <f>VLOOKUP(A41,'[3]OPD - Summary'!$A$6:$E$69,5,FALSE)</f>
        <v>0.25</v>
      </c>
      <c r="H41" s="42">
        <v>0.25</v>
      </c>
      <c r="I41" s="41">
        <f t="shared" si="4"/>
        <v>323.25</v>
      </c>
      <c r="J41" s="41">
        <f t="shared" ca="1" si="5"/>
        <v>4.6847826086956523</v>
      </c>
      <c r="K41" s="41">
        <f ca="1">ROUND(J41/4,0)</f>
        <v>1</v>
      </c>
      <c r="L41" s="50">
        <v>0</v>
      </c>
      <c r="U41" s="21"/>
      <c r="V41" s="21"/>
      <c r="W41" s="21"/>
      <c r="X41" s="21"/>
      <c r="Y41" s="21"/>
      <c r="Z41" s="21"/>
    </row>
    <row r="42" spans="1:26" s="32" customFormat="1" ht="30" hidden="1" customHeight="1" x14ac:dyDescent="0.2">
      <c r="A42" s="38" t="s">
        <v>50</v>
      </c>
      <c r="B42" s="39" t="e">
        <f>#REF!+5</f>
        <v>#REF!</v>
      </c>
      <c r="C42" s="39">
        <v>46315</v>
      </c>
      <c r="D42" s="52"/>
      <c r="E42" s="41"/>
      <c r="F42" s="41"/>
      <c r="G42" s="42">
        <f>VLOOKUP(A42,'[3]OPD - Summary'!$A$6:$E$69,5,FALSE)</f>
        <v>0.54</v>
      </c>
      <c r="H42" s="42"/>
      <c r="I42" s="41"/>
      <c r="J42" s="41"/>
      <c r="K42" s="41"/>
      <c r="L42" s="41"/>
      <c r="U42" s="21"/>
      <c r="V42" s="21"/>
      <c r="W42" s="21"/>
      <c r="X42" s="21"/>
      <c r="Y42" s="21"/>
      <c r="Z42" s="21"/>
    </row>
    <row r="43" spans="1:26" s="32" customFormat="1" ht="30" hidden="1" customHeight="1" x14ac:dyDescent="0.2">
      <c r="A43" s="38" t="s">
        <v>56</v>
      </c>
      <c r="B43" s="39" t="e">
        <f>#REF!+5</f>
        <v>#REF!</v>
      </c>
      <c r="C43" s="39">
        <v>46331</v>
      </c>
      <c r="D43" s="52"/>
      <c r="E43" s="41"/>
      <c r="F43" s="41"/>
      <c r="G43" s="42">
        <f>VLOOKUP(A43,'[3]OPD - Summary'!$A$6:$E$69,5,FALSE)</f>
        <v>0.53</v>
      </c>
      <c r="H43" s="42"/>
      <c r="I43" s="41"/>
      <c r="J43" s="41"/>
      <c r="K43" s="41"/>
      <c r="L43" s="41"/>
      <c r="U43" s="21"/>
      <c r="V43" s="21"/>
      <c r="W43" s="21"/>
      <c r="X43" s="21"/>
      <c r="Y43" s="21"/>
      <c r="Z43" s="21"/>
    </row>
    <row r="44" spans="1:26" s="32" customFormat="1" ht="30" hidden="1" customHeight="1" x14ac:dyDescent="0.2">
      <c r="A44" s="38" t="s">
        <v>57</v>
      </c>
      <c r="B44" s="39" t="e">
        <f>#REF!+5</f>
        <v>#REF!</v>
      </c>
      <c r="C44" s="39">
        <v>46348</v>
      </c>
      <c r="D44" s="52"/>
      <c r="E44" s="41"/>
      <c r="F44" s="41"/>
      <c r="G44" s="42">
        <f>VLOOKUP(A44,'[3]OPD - Summary'!$A$6:$E$69,5,FALSE)</f>
        <v>0.33</v>
      </c>
      <c r="H44" s="42"/>
      <c r="I44" s="41"/>
      <c r="J44" s="41"/>
      <c r="K44" s="41"/>
      <c r="L44" s="41"/>
      <c r="U44" s="21"/>
      <c r="V44" s="21"/>
      <c r="W44" s="21"/>
      <c r="X44" s="21"/>
      <c r="Y44" s="21"/>
      <c r="Z44" s="21"/>
    </row>
    <row r="45" spans="1:26" s="32" customFormat="1" ht="30" hidden="1" customHeight="1" x14ac:dyDescent="0.2">
      <c r="A45" s="38" t="s">
        <v>58</v>
      </c>
      <c r="B45" s="39" t="e">
        <f>#REF!+5</f>
        <v>#REF!</v>
      </c>
      <c r="C45" s="39">
        <v>46361</v>
      </c>
      <c r="D45" s="52"/>
      <c r="E45" s="41"/>
      <c r="F45" s="41"/>
      <c r="G45" s="42">
        <f>VLOOKUP(A45,'[3]OPD - Summary'!$A$6:$E$69,5,FALSE)</f>
        <v>0.25</v>
      </c>
      <c r="H45" s="42"/>
      <c r="I45" s="41"/>
      <c r="J45" s="41"/>
      <c r="K45" s="41"/>
      <c r="L45" s="41"/>
      <c r="U45" s="21"/>
      <c r="V45" s="21"/>
      <c r="W45" s="21"/>
      <c r="X45" s="21"/>
      <c r="Y45" s="21"/>
      <c r="Z45" s="21"/>
    </row>
    <row r="46" spans="1:26" s="32" customFormat="1" ht="30" customHeight="1" x14ac:dyDescent="0.2">
      <c r="A46" s="45" t="s">
        <v>59</v>
      </c>
      <c r="B46" s="46"/>
      <c r="C46" s="46"/>
      <c r="D46" s="47"/>
      <c r="E46" s="48"/>
      <c r="F46" s="48"/>
      <c r="G46" s="49"/>
      <c r="H46" s="49"/>
      <c r="I46" s="48"/>
      <c r="J46" s="48"/>
      <c r="K46" s="48"/>
      <c r="L46" s="48"/>
      <c r="U46" s="21"/>
      <c r="V46" s="21"/>
      <c r="W46" s="21"/>
      <c r="X46" s="21"/>
      <c r="Y46" s="21"/>
      <c r="Z46" s="21"/>
    </row>
    <row r="47" spans="1:26" s="32" customFormat="1" ht="30" customHeight="1" x14ac:dyDescent="0.2">
      <c r="A47" s="45" t="s">
        <v>60</v>
      </c>
      <c r="B47" s="46"/>
      <c r="C47" s="46"/>
      <c r="D47" s="47"/>
      <c r="E47" s="48"/>
      <c r="F47" s="48"/>
      <c r="G47" s="49"/>
      <c r="H47" s="49"/>
      <c r="I47" s="48"/>
      <c r="J47" s="48"/>
      <c r="K47" s="48"/>
      <c r="L47" s="48"/>
      <c r="U47" s="21"/>
      <c r="V47" s="21"/>
      <c r="W47" s="21"/>
      <c r="X47" s="21"/>
      <c r="Y47" s="21"/>
      <c r="Z47" s="21"/>
    </row>
    <row r="48" spans="1:26" s="32" customFormat="1" ht="30" customHeight="1" x14ac:dyDescent="0.2">
      <c r="A48" s="38" t="s">
        <v>61</v>
      </c>
      <c r="B48" s="39">
        <v>46093</v>
      </c>
      <c r="C48" s="39">
        <v>46315</v>
      </c>
      <c r="D48" s="53" t="s">
        <v>48</v>
      </c>
      <c r="E48" s="41">
        <v>1500</v>
      </c>
      <c r="F48" s="41">
        <v>1335</v>
      </c>
      <c r="G48" s="42">
        <f>VLOOKUP(A48,'[3]OPD - Summary'!$A$6:$E$69,5,FALSE)</f>
        <v>0.83</v>
      </c>
      <c r="H48" s="42">
        <v>0.95</v>
      </c>
      <c r="I48" s="41">
        <f t="shared" ref="I48:I54" si="6">E48-E48*H48</f>
        <v>75</v>
      </c>
      <c r="J48" s="41">
        <f t="shared" ref="J48:J54" ca="1" si="7">I48/(C48-(IF(B48&gt;TODAY(),B48,TODAY())))</f>
        <v>5.7692307692307692</v>
      </c>
      <c r="K48" s="50">
        <f ca="1">ROUND(J48/4,0)</f>
        <v>1</v>
      </c>
      <c r="L48" s="50">
        <v>2</v>
      </c>
      <c r="U48" s="21"/>
      <c r="V48" s="21"/>
      <c r="W48" s="21"/>
      <c r="X48" s="21"/>
      <c r="Y48" s="21"/>
      <c r="Z48" s="21"/>
    </row>
    <row r="49" spans="1:26" s="32" customFormat="1" ht="30" customHeight="1" x14ac:dyDescent="0.2">
      <c r="A49" s="38" t="s">
        <v>62</v>
      </c>
      <c r="B49" s="39">
        <v>46050</v>
      </c>
      <c r="C49" s="39">
        <v>46326</v>
      </c>
      <c r="D49" s="53" t="s">
        <v>48</v>
      </c>
      <c r="E49" s="41">
        <f>9830+3200</f>
        <v>13030</v>
      </c>
      <c r="F49" s="41">
        <f>9306+1050</f>
        <v>10356</v>
      </c>
      <c r="G49" s="42">
        <f>VLOOKUP(A49,'[3]OPD - Summary'!$A$6:$E$69,5,FALSE)</f>
        <v>0.88</v>
      </c>
      <c r="H49" s="42">
        <v>0.89</v>
      </c>
      <c r="I49" s="41">
        <f t="shared" si="6"/>
        <v>1433.2999999999993</v>
      </c>
      <c r="J49" s="41">
        <f t="shared" ca="1" si="7"/>
        <v>59.720833333333303</v>
      </c>
      <c r="K49" s="50">
        <f ca="1">ROUND(J49/12,0)</f>
        <v>5</v>
      </c>
      <c r="L49" s="50">
        <v>4</v>
      </c>
      <c r="U49" s="21"/>
      <c r="V49" s="21"/>
      <c r="W49" s="21"/>
      <c r="X49" s="21"/>
      <c r="Y49" s="21"/>
      <c r="Z49" s="21"/>
    </row>
    <row r="50" spans="1:26" s="32" customFormat="1" ht="30" customHeight="1" x14ac:dyDescent="0.2">
      <c r="A50" s="38" t="s">
        <v>63</v>
      </c>
      <c r="B50" s="39">
        <v>46002</v>
      </c>
      <c r="C50" s="39">
        <v>46322</v>
      </c>
      <c r="D50" s="53" t="s">
        <v>36</v>
      </c>
      <c r="E50" s="41">
        <f>7203</f>
        <v>7203</v>
      </c>
      <c r="F50" s="41">
        <f>6780</f>
        <v>6780</v>
      </c>
      <c r="G50" s="42">
        <f>VLOOKUP(A50,'[3]OPD - Summary'!$A$6:$E$69,5,FALSE)</f>
        <v>0.89</v>
      </c>
      <c r="H50" s="42">
        <f>F50/E50</f>
        <v>0.94127446897126199</v>
      </c>
      <c r="I50" s="41">
        <f t="shared" si="6"/>
        <v>423</v>
      </c>
      <c r="J50" s="41">
        <f t="shared" ca="1" si="7"/>
        <v>21.15</v>
      </c>
      <c r="K50" s="50">
        <f ca="1">ROUND(J50/10,0)</f>
        <v>2</v>
      </c>
      <c r="L50" s="50">
        <v>4</v>
      </c>
    </row>
    <row r="51" spans="1:26" s="32" customFormat="1" ht="30" customHeight="1" x14ac:dyDescent="0.2">
      <c r="A51" s="38" t="s">
        <v>64</v>
      </c>
      <c r="B51" s="39">
        <v>46032</v>
      </c>
      <c r="C51" s="39">
        <v>46320</v>
      </c>
      <c r="D51" s="53" t="s">
        <v>36</v>
      </c>
      <c r="E51" s="41">
        <v>9363</v>
      </c>
      <c r="F51" s="41">
        <v>8504</v>
      </c>
      <c r="G51" s="42">
        <f>VLOOKUP(A51,'[3]OPD - Summary'!$A$6:$E$69,5,FALSE)</f>
        <v>0.91</v>
      </c>
      <c r="H51" s="42">
        <f>F51/E51</f>
        <v>0.90825590088646802</v>
      </c>
      <c r="I51" s="41">
        <f t="shared" si="6"/>
        <v>859</v>
      </c>
      <c r="J51" s="41">
        <f t="shared" ca="1" si="7"/>
        <v>47.722222222222221</v>
      </c>
      <c r="K51" s="50">
        <f ca="1">ROUND(J51/12,0)</f>
        <v>4</v>
      </c>
      <c r="L51" s="50">
        <v>6</v>
      </c>
    </row>
    <row r="52" spans="1:26" s="32" customFormat="1" ht="30" customHeight="1" x14ac:dyDescent="0.2">
      <c r="A52" s="38" t="s">
        <v>65</v>
      </c>
      <c r="B52" s="39">
        <v>46275</v>
      </c>
      <c r="C52" s="39">
        <v>46351</v>
      </c>
      <c r="D52" s="53" t="s">
        <v>48</v>
      </c>
      <c r="E52" s="41">
        <f>890+1480+1598+1190</f>
        <v>5158</v>
      </c>
      <c r="F52" s="41">
        <v>0</v>
      </c>
      <c r="G52" s="42">
        <f>VLOOKUP(A52,'[3]OPD - Summary'!$A$6:$E$69,5,FALSE)</f>
        <v>0.23</v>
      </c>
      <c r="H52" s="42">
        <v>0.24</v>
      </c>
      <c r="I52" s="41">
        <f t="shared" si="6"/>
        <v>3920.08</v>
      </c>
      <c r="J52" s="41">
        <f t="shared" ca="1" si="7"/>
        <v>80.001632653061222</v>
      </c>
      <c r="K52" s="50">
        <f ca="1">ROUND(J52/9,0)</f>
        <v>9</v>
      </c>
      <c r="L52" s="50">
        <v>0</v>
      </c>
    </row>
    <row r="53" spans="1:26" s="32" customFormat="1" ht="30" customHeight="1" x14ac:dyDescent="0.2">
      <c r="A53" s="38" t="s">
        <v>66</v>
      </c>
      <c r="B53" s="39">
        <v>46275</v>
      </c>
      <c r="C53" s="39">
        <v>46341</v>
      </c>
      <c r="D53" s="53" t="s">
        <v>48</v>
      </c>
      <c r="E53" s="41">
        <v>630</v>
      </c>
      <c r="F53" s="41">
        <v>215</v>
      </c>
      <c r="G53" s="42">
        <f>VLOOKUP(A53,'[3]OPD - Summary'!$A$6:$E$69,5,FALSE)</f>
        <v>0.18</v>
      </c>
      <c r="H53" s="42">
        <f>F53/E53</f>
        <v>0.34126984126984128</v>
      </c>
      <c r="I53" s="41">
        <f t="shared" si="6"/>
        <v>415</v>
      </c>
      <c r="J53" s="41">
        <f t="shared" ca="1" si="7"/>
        <v>10.641025641025641</v>
      </c>
      <c r="K53" s="50">
        <f ca="1">ROUND(J53/9,0)</f>
        <v>1</v>
      </c>
      <c r="L53" s="50">
        <v>2</v>
      </c>
    </row>
    <row r="54" spans="1:26" s="32" customFormat="1" ht="30" customHeight="1" x14ac:dyDescent="0.2">
      <c r="A54" s="38" t="s">
        <v>67</v>
      </c>
      <c r="B54" s="39">
        <v>46295</v>
      </c>
      <c r="C54" s="39">
        <v>46323</v>
      </c>
      <c r="D54" s="53" t="s">
        <v>36</v>
      </c>
      <c r="E54" s="41">
        <v>3426</v>
      </c>
      <c r="F54" s="41">
        <v>0</v>
      </c>
      <c r="G54" s="42" t="e">
        <f>VLOOKUP(A54,'[3]OPD - Summary'!$A$6:$E$69,5,FALSE)</f>
        <v>#REF!</v>
      </c>
      <c r="H54" s="42">
        <v>0.1</v>
      </c>
      <c r="I54" s="41">
        <f t="shared" si="6"/>
        <v>3083.4</v>
      </c>
      <c r="J54" s="41">
        <f t="shared" ca="1" si="7"/>
        <v>146.82857142857142</v>
      </c>
      <c r="K54" s="50">
        <f ca="1">ROUND(J54/10,0)</f>
        <v>15</v>
      </c>
      <c r="L54" s="50">
        <v>6</v>
      </c>
    </row>
    <row r="55" spans="1:26" s="32" customFormat="1" ht="30" customHeight="1" x14ac:dyDescent="0.2">
      <c r="A55" s="45" t="s">
        <v>68</v>
      </c>
      <c r="B55" s="46"/>
      <c r="C55" s="46"/>
      <c r="D55" s="47"/>
      <c r="E55" s="48"/>
      <c r="F55" s="48"/>
      <c r="G55" s="49"/>
      <c r="H55" s="49"/>
      <c r="I55" s="48"/>
      <c r="J55" s="48"/>
      <c r="K55" s="48"/>
      <c r="L55" s="48"/>
    </row>
    <row r="56" spans="1:26" s="32" customFormat="1" ht="30" customHeight="1" x14ac:dyDescent="0.2">
      <c r="A56" s="38" t="s">
        <v>69</v>
      </c>
      <c r="B56" s="39">
        <v>46252</v>
      </c>
      <c r="C56" s="39">
        <v>46346</v>
      </c>
      <c r="D56" s="53" t="s">
        <v>48</v>
      </c>
      <c r="E56" s="41">
        <v>46027</v>
      </c>
      <c r="F56" s="41">
        <f>E56-(1-H56)*E56</f>
        <v>22092.959999999999</v>
      </c>
      <c r="G56" s="42">
        <f>VLOOKUP(A56,'[3]OPD - Summary'!$A$6:$E$69,5,FALSE)</f>
        <v>0.45</v>
      </c>
      <c r="H56" s="42">
        <v>0.48</v>
      </c>
      <c r="I56" s="41">
        <f t="shared" ref="I56:I66" si="8">E56-E56*H56</f>
        <v>23934.04</v>
      </c>
      <c r="J56" s="41">
        <f t="shared" ref="J56:J66" ca="1" si="9">I56/(C56-(IF(B56&gt;TODAY(),B56,TODAY())))</f>
        <v>543.95545454545459</v>
      </c>
      <c r="K56" s="50">
        <f ca="1">ROUND(J56/25,0)</f>
        <v>22</v>
      </c>
      <c r="L56" s="50">
        <v>16</v>
      </c>
    </row>
    <row r="57" spans="1:26" s="32" customFormat="1" ht="30" customHeight="1" x14ac:dyDescent="0.2">
      <c r="A57" s="38" t="s">
        <v>70</v>
      </c>
      <c r="B57" s="39">
        <v>46213</v>
      </c>
      <c r="C57" s="39">
        <v>46354</v>
      </c>
      <c r="D57" s="53" t="s">
        <v>48</v>
      </c>
      <c r="E57" s="41">
        <v>16308</v>
      </c>
      <c r="F57" s="41">
        <f>E57-(1-H57)*E57</f>
        <v>8643.2400000000016</v>
      </c>
      <c r="G57" s="42">
        <f>VLOOKUP(A57,'[3]OPD - Summary'!$A$6:$E$69,5,FALSE)</f>
        <v>0.51</v>
      </c>
      <c r="H57" s="42">
        <v>0.53</v>
      </c>
      <c r="I57" s="41">
        <f t="shared" si="8"/>
        <v>7664.76</v>
      </c>
      <c r="J57" s="41">
        <f t="shared" ca="1" si="9"/>
        <v>147.39923076923077</v>
      </c>
      <c r="K57" s="50">
        <f ca="1">ROUND(J57/25,0)</f>
        <v>6</v>
      </c>
      <c r="L57" s="50">
        <v>4</v>
      </c>
    </row>
    <row r="58" spans="1:26" s="32" customFormat="1" ht="30" customHeight="1" x14ac:dyDescent="0.2">
      <c r="A58" s="38" t="s">
        <v>71</v>
      </c>
      <c r="B58" s="39">
        <v>46300</v>
      </c>
      <c r="C58" s="39">
        <v>46326</v>
      </c>
      <c r="D58" s="53" t="s">
        <v>38</v>
      </c>
      <c r="E58" s="41">
        <v>4</v>
      </c>
      <c r="F58" s="41">
        <f>E58-(1-H58)*E58</f>
        <v>3.6</v>
      </c>
      <c r="G58" s="42" t="e">
        <f>VLOOKUP(A58,'[3]OPD - Summary'!$A$6:$E$69,5,FALSE)</f>
        <v>#REF!</v>
      </c>
      <c r="H58" s="42">
        <v>0.9</v>
      </c>
      <c r="I58" s="41">
        <f t="shared" si="8"/>
        <v>0.39999999999999991</v>
      </c>
      <c r="J58" s="41">
        <f t="shared" ca="1" si="9"/>
        <v>1.6666666666666663E-2</v>
      </c>
      <c r="K58" s="50">
        <f ca="1">ROUND(J58/2,0)</f>
        <v>0</v>
      </c>
      <c r="L58" s="50">
        <v>0</v>
      </c>
    </row>
    <row r="59" spans="1:26" s="32" customFormat="1" ht="30" customHeight="1" x14ac:dyDescent="0.2">
      <c r="A59" s="38" t="s">
        <v>72</v>
      </c>
      <c r="B59" s="39">
        <v>46313</v>
      </c>
      <c r="C59" s="39">
        <v>46366</v>
      </c>
      <c r="D59" s="53" t="s">
        <v>38</v>
      </c>
      <c r="E59" s="41">
        <v>1517</v>
      </c>
      <c r="F59" s="41">
        <v>0</v>
      </c>
      <c r="G59" s="42" t="e">
        <f>VLOOKUP(A59,'[3]OPD - Summary'!$A$6:$E$69,5,FALSE)</f>
        <v>#REF!</v>
      </c>
      <c r="H59" s="42">
        <v>0</v>
      </c>
      <c r="I59" s="41">
        <f t="shared" si="8"/>
        <v>1517</v>
      </c>
      <c r="J59" s="41">
        <f t="shared" ca="1" si="9"/>
        <v>28.622641509433961</v>
      </c>
      <c r="K59" s="50">
        <f ca="1">ROUND(J59/12,0)</f>
        <v>2</v>
      </c>
      <c r="L59" s="50">
        <v>0</v>
      </c>
    </row>
    <row r="60" spans="1:26" s="32" customFormat="1" ht="30" customHeight="1" x14ac:dyDescent="0.2">
      <c r="A60" s="38" t="s">
        <v>73</v>
      </c>
      <c r="B60" s="39">
        <v>46244</v>
      </c>
      <c r="C60" s="39">
        <v>46336</v>
      </c>
      <c r="D60" s="53" t="s">
        <v>48</v>
      </c>
      <c r="E60" s="41">
        <v>2800</v>
      </c>
      <c r="F60" s="41">
        <v>2585</v>
      </c>
      <c r="G60" s="42">
        <f>VLOOKUP(A60,'[3]OPD - Summary'!$A$6:$E$69,5,FALSE)</f>
        <v>0.84</v>
      </c>
      <c r="H60" s="42">
        <f>F60/E60</f>
        <v>0.92321428571428577</v>
      </c>
      <c r="I60" s="41">
        <f t="shared" si="8"/>
        <v>215</v>
      </c>
      <c r="J60" s="41">
        <f t="shared" ca="1" si="9"/>
        <v>6.3235294117647056</v>
      </c>
      <c r="K60" s="50">
        <v>2</v>
      </c>
      <c r="L60" s="50">
        <v>0</v>
      </c>
    </row>
    <row r="61" spans="1:26" s="32" customFormat="1" ht="30" customHeight="1" x14ac:dyDescent="0.2">
      <c r="A61" s="43" t="s">
        <v>74</v>
      </c>
      <c r="B61" s="39">
        <v>46253</v>
      </c>
      <c r="C61" s="39">
        <v>46354</v>
      </c>
      <c r="D61" s="53" t="s">
        <v>38</v>
      </c>
      <c r="E61" s="41">
        <v>45</v>
      </c>
      <c r="F61" s="41">
        <v>39</v>
      </c>
      <c r="G61" s="42">
        <f>VLOOKUP(A61,'[3]OPD - Summary'!$A$6:$E$69,5,FALSE)</f>
        <v>0.48</v>
      </c>
      <c r="H61" s="42">
        <f>F61/E61</f>
        <v>0.8666666666666667</v>
      </c>
      <c r="I61" s="41">
        <f t="shared" si="8"/>
        <v>6</v>
      </c>
      <c r="J61" s="41">
        <f t="shared" ca="1" si="9"/>
        <v>0.11538461538461539</v>
      </c>
      <c r="K61" s="50" t="s">
        <v>75</v>
      </c>
      <c r="L61" s="50">
        <v>4</v>
      </c>
    </row>
    <row r="62" spans="1:26" s="32" customFormat="1" ht="30" hidden="1" customHeight="1" x14ac:dyDescent="0.2">
      <c r="A62" s="38" t="s">
        <v>76</v>
      </c>
      <c r="B62" s="39">
        <v>46244</v>
      </c>
      <c r="C62" s="39">
        <f>VLOOKUP(A62,[4]OPD!$B$54:$D$76,3,FALSE)</f>
        <v>46319</v>
      </c>
      <c r="D62" s="53"/>
      <c r="E62" s="41"/>
      <c r="F62" s="41"/>
      <c r="G62" s="42" t="e">
        <f>VLOOKUP(A62,'[3]OPD - Summary'!$A$6:$E$69,5,FALSE)</f>
        <v>#REF!</v>
      </c>
      <c r="H62" s="42" t="e">
        <f>F62/E62</f>
        <v>#DIV/0!</v>
      </c>
      <c r="I62" s="41" t="e">
        <f t="shared" si="8"/>
        <v>#DIV/0!</v>
      </c>
      <c r="J62" s="41" t="e">
        <f t="shared" ca="1" si="9"/>
        <v>#DIV/0!</v>
      </c>
      <c r="K62" s="50"/>
      <c r="L62" s="50"/>
    </row>
    <row r="63" spans="1:26" s="32" customFormat="1" ht="30" customHeight="1" x14ac:dyDescent="0.2">
      <c r="A63" s="38" t="s">
        <v>77</v>
      </c>
      <c r="B63" s="39">
        <v>46244</v>
      </c>
      <c r="C63" s="39">
        <f>VLOOKUP(A63,[4]OPD!$B$54:$D$76,3,FALSE)</f>
        <v>46341</v>
      </c>
      <c r="D63" s="53" t="s">
        <v>48</v>
      </c>
      <c r="E63" s="41">
        <v>65000</v>
      </c>
      <c r="F63" s="41">
        <v>16450</v>
      </c>
      <c r="G63" s="42">
        <f>VLOOKUP(A63,'[3]OPD - Summary'!$A$6:$E$69,5,FALSE)</f>
        <v>0.44</v>
      </c>
      <c r="H63" s="42">
        <v>0.44</v>
      </c>
      <c r="I63" s="41">
        <f t="shared" si="8"/>
        <v>36400</v>
      </c>
      <c r="J63" s="41">
        <f t="shared" ca="1" si="9"/>
        <v>933.33333333333337</v>
      </c>
      <c r="K63" s="50">
        <f ca="1">ROUND(J63/60,0)</f>
        <v>16</v>
      </c>
      <c r="L63" s="50">
        <v>8</v>
      </c>
    </row>
    <row r="64" spans="1:26" s="32" customFormat="1" ht="30" customHeight="1" x14ac:dyDescent="0.2">
      <c r="A64" s="38" t="s">
        <v>78</v>
      </c>
      <c r="B64" s="39">
        <v>46221</v>
      </c>
      <c r="C64" s="39">
        <v>46341</v>
      </c>
      <c r="D64" s="53" t="s">
        <v>48</v>
      </c>
      <c r="E64" s="41">
        <v>24107</v>
      </c>
      <c r="F64" s="41">
        <v>18628</v>
      </c>
      <c r="G64" s="42">
        <f>VLOOKUP(A64,'[3]OPD - Summary'!$A$6:$E$69,5,FALSE)</f>
        <v>0.56999999999999995</v>
      </c>
      <c r="H64" s="42">
        <f>F64/E64</f>
        <v>0.77272161612809553</v>
      </c>
      <c r="I64" s="41">
        <f t="shared" si="8"/>
        <v>5479</v>
      </c>
      <c r="J64" s="41">
        <f t="shared" ca="1" si="9"/>
        <v>140.48717948717947</v>
      </c>
      <c r="K64" s="50">
        <f ca="1">ROUND(J64/60,0)</f>
        <v>2</v>
      </c>
      <c r="L64" s="50">
        <v>4</v>
      </c>
    </row>
    <row r="65" spans="1:26" s="32" customFormat="1" ht="30" customHeight="1" x14ac:dyDescent="0.2">
      <c r="A65" s="38" t="s">
        <v>79</v>
      </c>
      <c r="B65" s="39">
        <v>46294</v>
      </c>
      <c r="C65" s="39">
        <v>46310</v>
      </c>
      <c r="D65" s="53" t="s">
        <v>38</v>
      </c>
      <c r="E65" s="41">
        <v>1</v>
      </c>
      <c r="F65" s="41">
        <v>0</v>
      </c>
      <c r="G65" s="42" t="e">
        <f>VLOOKUP(A65,'[3]OPD - Summary'!$A$6:$E$69,5,FALSE)</f>
        <v>#REF!</v>
      </c>
      <c r="H65" s="42">
        <f>F65/E65</f>
        <v>0</v>
      </c>
      <c r="I65" s="41">
        <f t="shared" si="8"/>
        <v>1</v>
      </c>
      <c r="J65" s="41">
        <f t="shared" ca="1" si="9"/>
        <v>0.125</v>
      </c>
      <c r="K65" s="50" t="s">
        <v>75</v>
      </c>
      <c r="L65" s="50">
        <v>0</v>
      </c>
    </row>
    <row r="66" spans="1:26" s="32" customFormat="1" ht="20" x14ac:dyDescent="0.2">
      <c r="A66" s="38" t="s">
        <v>80</v>
      </c>
      <c r="B66" s="39">
        <v>46294</v>
      </c>
      <c r="C66" s="39">
        <v>46346</v>
      </c>
      <c r="D66" s="53" t="s">
        <v>38</v>
      </c>
      <c r="E66" s="41">
        <v>12</v>
      </c>
      <c r="F66" s="41">
        <v>4</v>
      </c>
      <c r="G66" s="42" t="e">
        <f>VLOOKUP(A66,'[3]OPD - Summary'!$A$6:$E$69,5,FALSE)</f>
        <v>#REF!</v>
      </c>
      <c r="H66" s="42">
        <f>F66/E66</f>
        <v>0.33333333333333331</v>
      </c>
      <c r="I66" s="41">
        <f t="shared" si="8"/>
        <v>8</v>
      </c>
      <c r="J66" s="41">
        <f t="shared" ca="1" si="9"/>
        <v>0.18181818181818182</v>
      </c>
      <c r="K66" s="50">
        <v>1</v>
      </c>
      <c r="L66" s="50">
        <v>4</v>
      </c>
    </row>
    <row r="67" spans="1:26" s="32" customFormat="1" ht="59.25" customHeight="1" x14ac:dyDescent="0.2">
      <c r="A67" s="54" t="s">
        <v>81</v>
      </c>
      <c r="B67" s="55">
        <v>46346</v>
      </c>
      <c r="C67" s="55">
        <v>46376</v>
      </c>
      <c r="D67" s="56" t="s">
        <v>82</v>
      </c>
      <c r="E67" s="57">
        <v>1</v>
      </c>
      <c r="F67" s="58">
        <v>0.02</v>
      </c>
      <c r="G67" s="59" t="e">
        <f>VLOOKUP(A67,'[3]OPD - Summary'!$A$6:$E$69,5,FALSE)</f>
        <v>#REF!</v>
      </c>
      <c r="H67" s="59">
        <f>F67/E67</f>
        <v>0.02</v>
      </c>
      <c r="I67" s="60">
        <f>E67-F67</f>
        <v>0.98</v>
      </c>
      <c r="J67" s="58"/>
      <c r="K67" s="58"/>
      <c r="L67" s="58"/>
    </row>
    <row r="68" spans="1:26" s="32" customFormat="1" ht="30" customHeight="1" x14ac:dyDescent="0.2">
      <c r="A68" s="33" t="s">
        <v>83</v>
      </c>
      <c r="B68" s="34"/>
      <c r="C68" s="34"/>
      <c r="D68" s="35"/>
      <c r="E68" s="36"/>
      <c r="F68" s="36"/>
      <c r="G68" s="37"/>
      <c r="H68" s="37"/>
      <c r="I68" s="36"/>
      <c r="J68" s="36"/>
      <c r="K68" s="36"/>
      <c r="L68" s="36"/>
    </row>
    <row r="69" spans="1:26" s="32" customFormat="1" ht="30" customHeight="1" x14ac:dyDescent="0.2">
      <c r="A69" s="38" t="s">
        <v>84</v>
      </c>
      <c r="B69" s="39">
        <v>46305</v>
      </c>
      <c r="C69" s="39">
        <v>46341</v>
      </c>
      <c r="D69" s="53" t="s">
        <v>85</v>
      </c>
      <c r="E69" s="41">
        <v>2250</v>
      </c>
      <c r="F69" s="41">
        <v>0</v>
      </c>
      <c r="G69" s="42" t="e">
        <f>VLOOKUP(A69,'[3]OPD - Summary'!$A$6:$E$69,5,FALSE)</f>
        <v>#REF!</v>
      </c>
      <c r="H69" s="42">
        <v>0</v>
      </c>
      <c r="I69" s="41">
        <f>E69-E69*H69</f>
        <v>2250</v>
      </c>
      <c r="J69" s="41">
        <f ca="1">I69/(C69-(IF(B69&gt;TODAY(),B69,TODAY())))</f>
        <v>62.5</v>
      </c>
      <c r="K69" s="50">
        <f ca="1">ROUND(J69/10,0)</f>
        <v>6</v>
      </c>
      <c r="L69" s="50">
        <v>7</v>
      </c>
    </row>
    <row r="70" spans="1:26" s="32" customFormat="1" ht="30" customHeight="1" x14ac:dyDescent="0.2">
      <c r="A70" s="38" t="s">
        <v>86</v>
      </c>
      <c r="B70" s="39">
        <v>46331</v>
      </c>
      <c r="C70" s="39">
        <v>46366</v>
      </c>
      <c r="D70" s="53" t="s">
        <v>38</v>
      </c>
      <c r="E70" s="41">
        <v>128</v>
      </c>
      <c r="F70" s="41">
        <v>0</v>
      </c>
      <c r="G70" s="42" t="e">
        <f>VLOOKUP(A70,'[3]OPD - Summary'!$A$6:$E$69,5,FALSE)</f>
        <v>#REF!</v>
      </c>
      <c r="H70" s="42">
        <v>0</v>
      </c>
      <c r="I70" s="41">
        <f>E70-E70*H70</f>
        <v>128</v>
      </c>
      <c r="J70" s="41">
        <f ca="1">I70/(C70-(IF(B70&gt;TODAY(),B70,TODAY())))</f>
        <v>3.657142857142857</v>
      </c>
      <c r="K70" s="50" t="s">
        <v>75</v>
      </c>
      <c r="L70" s="50">
        <v>0</v>
      </c>
    </row>
    <row r="71" spans="1:26" s="32" customFormat="1" ht="30" customHeight="1" x14ac:dyDescent="0.2">
      <c r="A71" s="38" t="s">
        <v>87</v>
      </c>
      <c r="B71" s="39">
        <v>46256</v>
      </c>
      <c r="C71" s="39">
        <v>46351</v>
      </c>
      <c r="D71" s="40" t="s">
        <v>38</v>
      </c>
      <c r="E71" s="41">
        <v>1</v>
      </c>
      <c r="F71" s="61">
        <v>0.35</v>
      </c>
      <c r="G71" s="42">
        <f>VLOOKUP(A71,'[3]OPD - Summary'!$A$6:$E$69,5,FALSE)</f>
        <v>0.44</v>
      </c>
      <c r="H71" s="42">
        <v>0.6</v>
      </c>
      <c r="I71" s="41">
        <v>265</v>
      </c>
      <c r="J71" s="41">
        <f ca="1">I71/(C71-(IF(B71&gt;TODAY(),B71,TODAY())))</f>
        <v>5.408163265306122</v>
      </c>
      <c r="K71" s="50">
        <v>3</v>
      </c>
      <c r="L71" s="50">
        <v>0</v>
      </c>
      <c r="U71" s="21"/>
      <c r="V71" s="21"/>
      <c r="W71" s="21"/>
      <c r="X71" s="21"/>
      <c r="Y71" s="21"/>
      <c r="Z71" s="21"/>
    </row>
    <row r="72" spans="1:26" s="32" customFormat="1" ht="30" customHeight="1" x14ac:dyDescent="0.2">
      <c r="A72" s="38" t="s">
        <v>88</v>
      </c>
      <c r="B72" s="39">
        <v>46239</v>
      </c>
      <c r="C72" s="39">
        <v>46361</v>
      </c>
      <c r="D72" s="40" t="s">
        <v>36</v>
      </c>
      <c r="E72" s="41">
        <v>3528</v>
      </c>
      <c r="F72" s="41">
        <f>E72</f>
        <v>3528</v>
      </c>
      <c r="G72" s="42">
        <f>VLOOKUP(A72,'[3]OPD - Summary'!$A$6:$E$69,5,FALSE)</f>
        <v>0.78</v>
      </c>
      <c r="H72" s="42">
        <v>1</v>
      </c>
      <c r="I72" s="41">
        <v>731</v>
      </c>
      <c r="J72" s="41">
        <f ca="1">I72/(C72-(IF(B72&gt;TODAY(),B72,TODAY())))</f>
        <v>12.389830508474576</v>
      </c>
      <c r="K72" s="50">
        <v>2</v>
      </c>
      <c r="L72" s="50">
        <v>2</v>
      </c>
      <c r="U72" s="21"/>
      <c r="V72" s="21"/>
      <c r="W72" s="21"/>
      <c r="X72" s="21"/>
      <c r="Y72" s="21"/>
      <c r="Z72" s="21"/>
    </row>
    <row r="73" spans="1:26" s="32" customFormat="1" ht="43" customHeight="1" x14ac:dyDescent="0.2">
      <c r="A73" s="38" t="s">
        <v>89</v>
      </c>
      <c r="B73" s="39">
        <v>46295</v>
      </c>
      <c r="C73" s="39">
        <v>46326</v>
      </c>
      <c r="D73" s="40" t="s">
        <v>36</v>
      </c>
      <c r="E73" s="41">
        <f>29*35</f>
        <v>1015</v>
      </c>
      <c r="F73" s="41">
        <v>609</v>
      </c>
      <c r="G73" s="42">
        <f>VLOOKUP(A73,'[3]OPD - Summary'!$A$6:$E$69,5,FALSE)</f>
        <v>0.6</v>
      </c>
      <c r="H73" s="42">
        <v>0.65</v>
      </c>
      <c r="I73" s="41">
        <f>E73-E73*H73</f>
        <v>355.25</v>
      </c>
      <c r="J73" s="41">
        <f ca="1">I73/(C73-(IF(B73&gt;TODAY(),B73,TODAY())))</f>
        <v>14.802083333333334</v>
      </c>
      <c r="K73" s="50">
        <v>3</v>
      </c>
      <c r="L73" s="50">
        <v>2</v>
      </c>
      <c r="U73" s="21"/>
      <c r="V73" s="21"/>
      <c r="W73" s="21"/>
      <c r="X73" s="21"/>
      <c r="Y73" s="21"/>
      <c r="Z73" s="21"/>
    </row>
    <row r="74" spans="1:26" s="32" customFormat="1" ht="30" customHeight="1" x14ac:dyDescent="0.2">
      <c r="A74" s="33" t="s">
        <v>90</v>
      </c>
      <c r="B74" s="34"/>
      <c r="C74" s="34"/>
      <c r="D74" s="35" t="s">
        <v>38</v>
      </c>
      <c r="E74" s="62">
        <f>SUM(E75:E78)</f>
        <v>7</v>
      </c>
      <c r="F74" s="62">
        <f>SUM(F75:F78)</f>
        <v>4</v>
      </c>
      <c r="G74" s="63"/>
      <c r="H74" s="63"/>
      <c r="I74" s="62">
        <f>SUM(I75:I78)</f>
        <v>2.4500000000000002</v>
      </c>
      <c r="J74" s="62"/>
      <c r="K74" s="62"/>
      <c r="L74" s="62"/>
    </row>
    <row r="75" spans="1:26" s="32" customFormat="1" ht="30" customHeight="1" x14ac:dyDescent="0.2">
      <c r="A75" s="64" t="s">
        <v>91</v>
      </c>
      <c r="B75" s="39">
        <v>46178</v>
      </c>
      <c r="C75" s="39">
        <v>46233</v>
      </c>
      <c r="D75" s="53" t="s">
        <v>38</v>
      </c>
      <c r="E75" s="41">
        <v>2</v>
      </c>
      <c r="F75" s="41">
        <v>2</v>
      </c>
      <c r="G75" s="42">
        <f>VLOOKUP(A75,'[3]OPD - Summary'!$A$6:$E$69,5,FALSE)</f>
        <v>1</v>
      </c>
      <c r="H75" s="42">
        <v>1</v>
      </c>
      <c r="I75" s="41">
        <f>E75-E75*H75</f>
        <v>0</v>
      </c>
      <c r="J75" s="42">
        <f ca="1">I75/(C75-(IF(B75&gt;TODAY(),B75,TODAY())))</f>
        <v>0</v>
      </c>
      <c r="K75" s="41" t="s">
        <v>75</v>
      </c>
      <c r="L75" s="41">
        <v>0</v>
      </c>
    </row>
    <row r="76" spans="1:26" s="32" customFormat="1" ht="30" customHeight="1" x14ac:dyDescent="0.2">
      <c r="A76" s="64" t="s">
        <v>92</v>
      </c>
      <c r="B76" s="39">
        <v>46242</v>
      </c>
      <c r="C76" s="39">
        <v>46320</v>
      </c>
      <c r="D76" s="53" t="s">
        <v>38</v>
      </c>
      <c r="E76" s="41">
        <v>3</v>
      </c>
      <c r="F76" s="41">
        <v>2</v>
      </c>
      <c r="G76" s="42">
        <f>VLOOKUP(A76,'[3]OPD - Summary'!$A$6:$E$69,5,FALSE)</f>
        <v>0.72</v>
      </c>
      <c r="H76" s="42">
        <v>0.85</v>
      </c>
      <c r="I76" s="41">
        <f>E76-E76*H76</f>
        <v>0.45000000000000018</v>
      </c>
      <c r="J76" s="42">
        <f ca="1">I76/(C76-(IF(B76&gt;TODAY(),B76,TODAY())))</f>
        <v>2.5000000000000008E-2</v>
      </c>
      <c r="K76" s="41">
        <v>4</v>
      </c>
      <c r="L76" s="41">
        <v>4</v>
      </c>
    </row>
    <row r="77" spans="1:26" s="32" customFormat="1" ht="30" customHeight="1" x14ac:dyDescent="0.2">
      <c r="A77" s="64" t="s">
        <v>93</v>
      </c>
      <c r="B77" s="39">
        <v>46306</v>
      </c>
      <c r="C77" s="39">
        <v>46354</v>
      </c>
      <c r="D77" s="53" t="s">
        <v>38</v>
      </c>
      <c r="E77" s="41">
        <v>1</v>
      </c>
      <c r="F77" s="41">
        <v>0</v>
      </c>
      <c r="G77" s="42" t="e">
        <f>VLOOKUP(A77,'[3]OPD - Summary'!$A$6:$E$69,5,FALSE)</f>
        <v>#REF!</v>
      </c>
      <c r="H77" s="42">
        <v>0</v>
      </c>
      <c r="I77" s="41">
        <f>E77-E77*H77</f>
        <v>1</v>
      </c>
      <c r="J77" s="42">
        <f ca="1">I77/(C77-(IF(B77&gt;TODAY(),B77,TODAY())))</f>
        <v>2.0833333333333332E-2</v>
      </c>
      <c r="K77" s="41">
        <v>2</v>
      </c>
      <c r="L77" s="41">
        <v>2</v>
      </c>
    </row>
    <row r="78" spans="1:26" s="32" customFormat="1" ht="30" customHeight="1" x14ac:dyDescent="0.2">
      <c r="A78" s="64" t="s">
        <v>93</v>
      </c>
      <c r="B78" s="39">
        <v>46341</v>
      </c>
      <c r="C78" s="39">
        <v>46366</v>
      </c>
      <c r="D78" s="53" t="s">
        <v>38</v>
      </c>
      <c r="E78" s="41">
        <v>1</v>
      </c>
      <c r="F78" s="41">
        <v>0</v>
      </c>
      <c r="G78" s="42" t="e">
        <f>VLOOKUP(A78,'[3]OPD - Summary'!$A$6:$E$69,5,FALSE)</f>
        <v>#REF!</v>
      </c>
      <c r="H78" s="42">
        <v>0</v>
      </c>
      <c r="I78" s="41">
        <f>E78-E78*H78</f>
        <v>1</v>
      </c>
      <c r="J78" s="42">
        <f ca="1">I78/(C78-(IF(B78&gt;TODAY(),B78,TODAY())))</f>
        <v>0.04</v>
      </c>
      <c r="K78" s="41" t="s">
        <v>75</v>
      </c>
      <c r="L78" s="41">
        <v>0</v>
      </c>
    </row>
    <row r="79" spans="1:26" s="32" customFormat="1" ht="30" customHeight="1" x14ac:dyDescent="0.2">
      <c r="A79" s="33" t="s">
        <v>94</v>
      </c>
      <c r="B79" s="34"/>
      <c r="C79" s="34"/>
      <c r="D79" s="35"/>
      <c r="E79" s="36"/>
      <c r="F79" s="36"/>
      <c r="G79" s="37"/>
      <c r="H79" s="37"/>
      <c r="I79" s="36"/>
      <c r="J79" s="36"/>
      <c r="K79" s="36"/>
      <c r="L79" s="36"/>
      <c r="U79" s="21"/>
      <c r="V79" s="21"/>
      <c r="W79" s="21"/>
      <c r="X79" s="21"/>
      <c r="Y79" s="21"/>
      <c r="Z79" s="21"/>
    </row>
    <row r="80" spans="1:26" s="32" customFormat="1" ht="30" customHeight="1" x14ac:dyDescent="0.2">
      <c r="A80" s="38" t="s">
        <v>95</v>
      </c>
      <c r="B80" s="39">
        <v>46294</v>
      </c>
      <c r="C80" s="39">
        <v>46315</v>
      </c>
      <c r="D80" s="53"/>
      <c r="E80" s="41"/>
      <c r="F80" s="41"/>
      <c r="G80" s="42" t="e">
        <f>VLOOKUP(A80,'[3]OPD - Summary'!$A$6:$E$69,5,FALSE)</f>
        <v>#REF!</v>
      </c>
      <c r="H80" s="42"/>
      <c r="I80" s="41"/>
      <c r="J80" s="41"/>
      <c r="K80" s="41"/>
      <c r="L80" s="41"/>
    </row>
    <row r="81" spans="1:12" s="32" customFormat="1" ht="30" customHeight="1" x14ac:dyDescent="0.2">
      <c r="A81" s="38" t="s">
        <v>96</v>
      </c>
      <c r="B81" s="39">
        <v>46326</v>
      </c>
      <c r="C81" s="39">
        <v>46346</v>
      </c>
      <c r="D81" s="53"/>
      <c r="E81" s="41"/>
      <c r="F81" s="41"/>
      <c r="G81" s="42" t="e">
        <f>VLOOKUP(A81,'[3]OPD - Summary'!$A$6:$E$69,5,FALSE)</f>
        <v>#REF!</v>
      </c>
      <c r="H81" s="42"/>
      <c r="I81" s="41"/>
      <c r="J81" s="41"/>
      <c r="K81" s="41"/>
      <c r="L81" s="41"/>
    </row>
    <row r="82" spans="1:12" s="32" customFormat="1" ht="30" customHeight="1" x14ac:dyDescent="0.2">
      <c r="A82" s="38" t="s">
        <v>97</v>
      </c>
      <c r="B82" s="39">
        <v>46323</v>
      </c>
      <c r="C82" s="39">
        <v>46351</v>
      </c>
      <c r="D82" s="53"/>
      <c r="E82" s="41"/>
      <c r="F82" s="41"/>
      <c r="G82" s="42" t="e">
        <f>VLOOKUP(A82,'[3]OPD - Summary'!$A$6:$E$69,5,FALSE)</f>
        <v>#REF!</v>
      </c>
      <c r="H82" s="42"/>
      <c r="I82" s="41"/>
      <c r="J82" s="41"/>
      <c r="K82" s="41"/>
      <c r="L82" s="41"/>
    </row>
    <row r="83" spans="1:12" s="32" customFormat="1" ht="30" customHeight="1" x14ac:dyDescent="0.2">
      <c r="A83" s="33" t="s">
        <v>98</v>
      </c>
      <c r="B83" s="34"/>
      <c r="C83" s="34"/>
      <c r="D83" s="35"/>
      <c r="E83" s="36"/>
      <c r="F83" s="36"/>
      <c r="G83" s="37"/>
      <c r="H83" s="37"/>
      <c r="I83" s="36"/>
      <c r="J83" s="36"/>
      <c r="K83" s="36"/>
      <c r="L83" s="36"/>
    </row>
    <row r="84" spans="1:12" s="32" customFormat="1" ht="30" customHeight="1" x14ac:dyDescent="0.2">
      <c r="A84" s="38" t="s">
        <v>99</v>
      </c>
      <c r="B84" s="39">
        <v>46357</v>
      </c>
      <c r="C84" s="39">
        <v>46380</v>
      </c>
      <c r="D84" s="53"/>
      <c r="E84" s="41"/>
      <c r="F84" s="41"/>
      <c r="G84" s="42"/>
      <c r="H84" s="42"/>
      <c r="I84" s="41"/>
      <c r="J84" s="41"/>
      <c r="K84" s="41"/>
      <c r="L84" s="41"/>
    </row>
    <row r="85" spans="1:12" s="32" customFormat="1" ht="30" customHeight="1" x14ac:dyDescent="0.2">
      <c r="A85" s="38" t="s">
        <v>100</v>
      </c>
      <c r="B85" s="39">
        <v>46351</v>
      </c>
      <c r="C85" s="39">
        <v>46376</v>
      </c>
      <c r="D85" s="53"/>
      <c r="E85" s="41"/>
      <c r="F85" s="41"/>
      <c r="G85" s="42"/>
      <c r="H85" s="42"/>
      <c r="I85" s="41"/>
      <c r="J85" s="41"/>
      <c r="K85" s="41"/>
      <c r="L85" s="41"/>
    </row>
    <row r="86" spans="1:12" s="32" customFormat="1" ht="30" customHeight="1" x14ac:dyDescent="0.2">
      <c r="A86" s="38" t="s">
        <v>101</v>
      </c>
      <c r="B86" s="39">
        <v>46361</v>
      </c>
      <c r="C86" s="39">
        <v>46380</v>
      </c>
      <c r="D86" s="53"/>
      <c r="E86" s="41"/>
      <c r="F86" s="41"/>
      <c r="G86" s="42"/>
      <c r="H86" s="42"/>
      <c r="I86" s="41"/>
      <c r="J86" s="41"/>
      <c r="K86" s="41"/>
      <c r="L86" s="41"/>
    </row>
    <row r="87" spans="1:12" s="32" customFormat="1" ht="30" customHeight="1" x14ac:dyDescent="0.2">
      <c r="A87" s="38" t="s">
        <v>102</v>
      </c>
      <c r="B87" s="39">
        <v>46346</v>
      </c>
      <c r="C87" s="39">
        <v>46376</v>
      </c>
      <c r="D87" s="53"/>
      <c r="E87" s="41"/>
      <c r="F87" s="41"/>
      <c r="G87" s="42"/>
      <c r="H87" s="42"/>
      <c r="I87" s="41"/>
      <c r="J87" s="41"/>
      <c r="K87" s="41"/>
      <c r="L87" s="41"/>
    </row>
  </sheetData>
  <mergeCells count="12">
    <mergeCell ref="L2:L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conditionalFormatting sqref="M6:S70 T11:T48 M71:T73 M74:S78 M80:S87">
    <cfRule type="expression" dxfId="67" priority="1">
      <formula>AND($B6&lt;&gt;"",$C6&lt;&gt;"",$H6&gt;0,$B6&lt;=EOMONTH(M$3,0),($B6+(($C6-$B6)*$H6))&gt;=M$3)</formula>
    </cfRule>
    <cfRule type="expression" dxfId="66" priority="2">
      <formula>AND($B6&lt;&gt;"",$C6&lt;&gt;"",$B6&lt;=EOMONTH(M$3,0),$C6&gt;=M$3)</formula>
    </cfRule>
  </conditionalFormatting>
  <conditionalFormatting sqref="M6:S87">
    <cfRule type="expression" dxfId="65" priority="33">
      <formula>AND($B6&lt;&gt;"",$C6&lt;&gt;"",#REF!&lt;&gt;"",$B6&lt;=EOMONTH(M$3,0),($B6+(($C6-$B6)*#REF!))&gt;=M$3)</formula>
    </cfRule>
  </conditionalFormatting>
  <conditionalFormatting sqref="M87:S87">
    <cfRule type="expression" dxfId="64" priority="32">
      <formula>AND($B87&lt;&gt;"",$C87&lt;&gt;"",$B87&lt;=EOMONTH(M$3,0),$C87&gt;=M$3)</formula>
    </cfRule>
  </conditionalFormatting>
  <conditionalFormatting sqref="M3:T3">
    <cfRule type="expression" dxfId="63" priority="29">
      <formula>M$3=period_selected</formula>
    </cfRule>
  </conditionalFormatting>
  <conditionalFormatting sqref="M5:T19 T20:T48 M20:S70">
    <cfRule type="expression" dxfId="62" priority="25">
      <formula>Actual</formula>
    </cfRule>
    <cfRule type="expression" dxfId="61" priority="26">
      <formula>ActualBeyond</formula>
    </cfRule>
    <cfRule type="expression" dxfId="60" priority="27">
      <formula>Plan</formula>
    </cfRule>
    <cfRule type="expression" dxfId="59" priority="28">
      <formula>M$3=period_selected</formula>
    </cfRule>
    <cfRule type="expression" dxfId="58" priority="30">
      <formula>MOD(COLUMN(),2)</formula>
    </cfRule>
    <cfRule type="expression" dxfId="57" priority="31">
      <formula>MOD(COLUMN(),2)=0</formula>
    </cfRule>
  </conditionalFormatting>
  <conditionalFormatting sqref="M71:T87">
    <cfRule type="expression" dxfId="56" priority="10">
      <formula>PercentCompleteBeyond</formula>
    </cfRule>
    <cfRule type="expression" dxfId="55" priority="11">
      <formula>Actual</formula>
    </cfRule>
    <cfRule type="expression" dxfId="54" priority="12">
      <formula>ActualBeyond</formula>
    </cfRule>
    <cfRule type="expression" dxfId="53" priority="13">
      <formula>Plan</formula>
    </cfRule>
    <cfRule type="expression" dxfId="52" priority="14">
      <formula>M$3=period_selected</formula>
    </cfRule>
    <cfRule type="expression" dxfId="51" priority="15">
      <formula>MOD(COLUMN(),2)</formula>
    </cfRule>
    <cfRule type="expression" dxfId="50" priority="16">
      <formula>MOD(COLUMN(),2)=0</formula>
    </cfRule>
  </conditionalFormatting>
  <conditionalFormatting sqref="P4:S4 M6:S86">
    <cfRule type="expression" dxfId="49" priority="35">
      <formula>AND($B4&lt;&gt;"",$C4&lt;&gt;"",$B4&lt;=EOMONTH(M$3,0),$C4&gt;=M$3)</formula>
    </cfRule>
  </conditionalFormatting>
  <conditionalFormatting sqref="P4:S4">
    <cfRule type="expression" dxfId="48" priority="34">
      <formula>AND($B4&lt;&gt;"",$C4&lt;&gt;"",#REF!&lt;&gt;"",$B4&lt;=EOMONTH(P$3,0),($B4+(($C4-$B4)*#REF!))&gt;=P$3)</formula>
    </cfRule>
    <cfRule type="expression" dxfId="47" priority="36">
      <formula>AND($B4&lt;&gt;"",$C4&lt;&gt;"",#REF!&gt;0,$B4&lt;=EOMONTH(P$3,0),($B4+(($C4-$B4)*#REF!))&gt;=P$3)</formula>
    </cfRule>
    <cfRule type="expression" dxfId="46" priority="37">
      <formula>AND($B4&lt;&gt;"",$C4&lt;&gt;"",$B4&lt;=EOMONTH(P$3,0),$C4&gt;=P$3)</formula>
    </cfRule>
  </conditionalFormatting>
  <conditionalFormatting sqref="P4:T4">
    <cfRule type="expression" dxfId="45" priority="3">
      <formula>PercentCompleteBeyond</formula>
    </cfRule>
    <cfRule type="expression" dxfId="44" priority="4">
      <formula>Actual</formula>
    </cfRule>
    <cfRule type="expression" dxfId="43" priority="5">
      <formula>ActualBeyond</formula>
    </cfRule>
    <cfRule type="expression" dxfId="42" priority="6">
      <formula>Plan</formula>
    </cfRule>
    <cfRule type="expression" dxfId="41" priority="7">
      <formula>P$3=period_selected</formula>
    </cfRule>
    <cfRule type="expression" dxfId="40" priority="8">
      <formula>MOD(COLUMN(),2)</formula>
    </cfRule>
    <cfRule type="expression" dxfId="39" priority="9">
      <formula>MOD(COLUMN(),2)=0</formula>
    </cfRule>
  </conditionalFormatting>
  <conditionalFormatting sqref="T20:T48 M5:T19 M20:S70">
    <cfRule type="expression" dxfId="38" priority="24">
      <formula>PercentCompleteBeyond</formula>
    </cfRule>
  </conditionalFormatting>
  <conditionalFormatting sqref="T42:T70">
    <cfRule type="expression" dxfId="37" priority="17">
      <formula>PercentCompleteBeyond</formula>
    </cfRule>
    <cfRule type="expression" dxfId="36" priority="18">
      <formula>Actual</formula>
    </cfRule>
    <cfRule type="expression" dxfId="35" priority="19">
      <formula>ActualBeyond</formula>
    </cfRule>
    <cfRule type="expression" dxfId="34" priority="20">
      <formula>Plan</formula>
    </cfRule>
    <cfRule type="expression" dxfId="33" priority="21">
      <formula>T$3=period_selected</formula>
    </cfRule>
    <cfRule type="expression" dxfId="32" priority="22">
      <formula>MOD(COLUMN(),2)</formula>
    </cfRule>
    <cfRule type="expression" dxfId="31" priority="23">
      <formula>MOD(COLUMN(),2)=0</formula>
    </cfRule>
  </conditionalFormatting>
  <dataValidations count="4">
    <dataValidation allowBlank="1" showInputMessage="1" showErrorMessage="1" prompt="Title of the project. Enter a new title in this cell. Highlight a period in H2. Chart legend is in J2 to AI2" sqref="A1" xr:uid="{57DA3434-89F7-4424-8D54-29E172DAC02D}"/>
    <dataValidation allowBlank="1" showInputMessage="1" showErrorMessage="1" prompt="Enter plan start period in column C, starting with cell C5" sqref="B2:B4" xr:uid="{5CE3BF92-D420-4A54-805E-E907DFA22DBB}"/>
    <dataValidation allowBlank="1" showInputMessage="1" showErrorMessage="1" prompt="Enter activity in column B, starting with cell B5_x000a_" sqref="A2:A4" xr:uid="{0A22B653-A97E-432B-9C77-C8D827529172}"/>
    <dataValidation allowBlank="1" showInputMessage="1" showErrorMessage="1" prompt="Enter actual duration period in column F, starting with cell F5" sqref="C2:L4" xr:uid="{B6F72275-279B-4827-AF44-141549913DF8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552D-7E01-4949-A331-51C33863331A}">
  <dimension ref="B1:F15"/>
  <sheetViews>
    <sheetView workbookViewId="0">
      <selection activeCell="G20" sqref="G20"/>
    </sheetView>
  </sheetViews>
  <sheetFormatPr baseColWidth="10" defaultColWidth="9.33203125" defaultRowHeight="15" x14ac:dyDescent="0.2"/>
  <cols>
    <col min="1" max="1" width="9.33203125" style="1"/>
    <col min="2" max="2" width="33.33203125" style="1" bestFit="1" customWidth="1"/>
    <col min="3" max="3" width="18.33203125" style="1" customWidth="1"/>
    <col min="4" max="4" width="9.33203125" style="1"/>
    <col min="5" max="5" width="14.5" style="1" customWidth="1"/>
    <col min="6" max="6" width="18.5" style="1" customWidth="1"/>
    <col min="7" max="16384" width="9.33203125" style="1"/>
  </cols>
  <sheetData>
    <row r="1" spans="2:6" x14ac:dyDescent="0.2">
      <c r="B1" s="100" t="s">
        <v>103</v>
      </c>
      <c r="C1" s="106" t="s">
        <v>1</v>
      </c>
    </row>
    <row r="2" spans="2:6" x14ac:dyDescent="0.2">
      <c r="B2" s="101"/>
      <c r="C2" s="107"/>
    </row>
    <row r="3" spans="2:6" ht="18" x14ac:dyDescent="0.2">
      <c r="B3" s="2" t="s">
        <v>33</v>
      </c>
      <c r="C3" s="3">
        <v>46320</v>
      </c>
    </row>
    <row r="4" spans="2:6" ht="18" x14ac:dyDescent="0.2">
      <c r="B4" s="6" t="s">
        <v>5</v>
      </c>
      <c r="C4" s="7">
        <v>46346</v>
      </c>
      <c r="E4" s="4" t="s">
        <v>3</v>
      </c>
      <c r="F4" s="5" t="s">
        <v>4</v>
      </c>
    </row>
    <row r="5" spans="2:6" ht="18" x14ac:dyDescent="0.2">
      <c r="B5" s="2" t="s">
        <v>7</v>
      </c>
      <c r="C5" s="3">
        <v>46346</v>
      </c>
      <c r="E5" s="8" t="s">
        <v>6</v>
      </c>
      <c r="F5" s="3">
        <v>46323</v>
      </c>
    </row>
    <row r="6" spans="2:6" ht="18" x14ac:dyDescent="0.2">
      <c r="B6" s="6" t="s">
        <v>9</v>
      </c>
      <c r="C6" s="7">
        <v>46356</v>
      </c>
      <c r="E6" s="8" t="s">
        <v>8</v>
      </c>
      <c r="F6" s="3">
        <v>46351</v>
      </c>
    </row>
    <row r="7" spans="2:6" ht="18" x14ac:dyDescent="0.2">
      <c r="B7" s="2" t="s">
        <v>11</v>
      </c>
      <c r="C7" s="3">
        <v>46374</v>
      </c>
      <c r="E7" s="9" t="s">
        <v>10</v>
      </c>
      <c r="F7" s="3">
        <v>46374</v>
      </c>
    </row>
    <row r="8" spans="2:6" ht="18" x14ac:dyDescent="0.2">
      <c r="B8" s="6" t="s">
        <v>13</v>
      </c>
      <c r="C8" s="7">
        <v>46384</v>
      </c>
      <c r="E8" s="10" t="s">
        <v>12</v>
      </c>
      <c r="F8" s="3">
        <v>46381</v>
      </c>
    </row>
    <row r="9" spans="2:6" ht="18" x14ac:dyDescent="0.2">
      <c r="B9" s="2" t="s">
        <v>104</v>
      </c>
      <c r="C9" s="3">
        <v>46382</v>
      </c>
    </row>
    <row r="10" spans="2:6" ht="18" x14ac:dyDescent="0.2">
      <c r="B10" s="6" t="s">
        <v>15</v>
      </c>
      <c r="C10" s="7">
        <v>46367</v>
      </c>
    </row>
    <row r="11" spans="2:6" ht="18" x14ac:dyDescent="0.2">
      <c r="B11" s="2" t="s">
        <v>16</v>
      </c>
      <c r="C11" s="3">
        <v>46380</v>
      </c>
    </row>
    <row r="12" spans="2:6" ht="18" x14ac:dyDescent="0.2">
      <c r="B12" s="6" t="s">
        <v>105</v>
      </c>
      <c r="C12" s="7">
        <v>46341</v>
      </c>
    </row>
    <row r="13" spans="2:6" ht="18" x14ac:dyDescent="0.2">
      <c r="B13" s="2" t="s">
        <v>17</v>
      </c>
      <c r="C13" s="3">
        <v>46368</v>
      </c>
    </row>
    <row r="14" spans="2:6" ht="18" x14ac:dyDescent="0.2">
      <c r="B14" s="6" t="s">
        <v>18</v>
      </c>
      <c r="C14" s="7">
        <v>46377</v>
      </c>
    </row>
    <row r="15" spans="2:6" ht="18" x14ac:dyDescent="0.2">
      <c r="B15" s="2" t="s">
        <v>106</v>
      </c>
      <c r="C15" s="3">
        <v>46380</v>
      </c>
    </row>
  </sheetData>
  <mergeCells count="2">
    <mergeCell ref="B1:B2"/>
    <mergeCell ref="C1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856D-97BA-4B4D-937F-B979737DDE13}">
  <dimension ref="A1:X87"/>
  <sheetViews>
    <sheetView tabSelected="1" workbookViewId="0">
      <selection activeCell="A88" sqref="A88:XFD1048576"/>
    </sheetView>
  </sheetViews>
  <sheetFormatPr baseColWidth="10" defaultColWidth="3" defaultRowHeight="15" x14ac:dyDescent="0.2"/>
  <cols>
    <col min="1" max="1" width="32.5" customWidth="1"/>
    <col min="2" max="2" width="16.6640625" customWidth="1"/>
    <col min="3" max="4" width="14.5" customWidth="1"/>
    <col min="5" max="5" width="14.5" hidden="1" customWidth="1"/>
    <col min="6" max="6" width="12.1640625" hidden="1" customWidth="1"/>
    <col min="7" max="7" width="12.1640625" customWidth="1"/>
    <col min="8" max="8" width="13.1640625" customWidth="1"/>
    <col min="9" max="9" width="12.33203125" customWidth="1"/>
    <col min="10" max="12" width="14.5" customWidth="1"/>
    <col min="13" max="20" width="10.33203125" bestFit="1" customWidth="1"/>
  </cols>
  <sheetData>
    <row r="1" spans="1:24" s="21" customFormat="1" ht="30.75" customHeight="1" x14ac:dyDescent="0.25">
      <c r="A1" s="12" t="s">
        <v>107</v>
      </c>
      <c r="B1" s="69"/>
      <c r="C1" s="14"/>
      <c r="D1" s="14"/>
      <c r="E1" s="15"/>
      <c r="F1" s="15"/>
      <c r="G1" s="16"/>
      <c r="H1" s="16"/>
      <c r="I1" s="15"/>
      <c r="J1" s="15"/>
      <c r="K1" s="15"/>
      <c r="L1" s="15"/>
      <c r="M1" s="17"/>
      <c r="N1" s="17"/>
      <c r="O1" s="17"/>
      <c r="P1" s="17"/>
      <c r="Q1" s="18"/>
      <c r="R1" s="18"/>
      <c r="S1" s="18"/>
      <c r="T1" s="19"/>
      <c r="U1" s="20"/>
    </row>
    <row r="2" spans="1:24" s="21" customFormat="1" ht="16" x14ac:dyDescent="0.2">
      <c r="A2" s="70">
        <v>46298</v>
      </c>
      <c r="B2" s="71"/>
      <c r="C2" s="71"/>
      <c r="D2" s="71"/>
      <c r="E2" s="72"/>
      <c r="F2" s="72"/>
      <c r="G2" s="73"/>
      <c r="H2" s="73"/>
      <c r="I2" s="72"/>
      <c r="J2" s="72"/>
      <c r="K2" s="72"/>
      <c r="L2" s="72"/>
      <c r="M2" s="20"/>
      <c r="N2" s="20"/>
      <c r="O2" s="20"/>
      <c r="P2" s="20"/>
      <c r="Q2" s="20"/>
      <c r="R2" s="20"/>
      <c r="S2" s="20"/>
      <c r="T2" s="20"/>
      <c r="U2" s="20"/>
    </row>
    <row r="3" spans="1:24" s="23" customFormat="1" ht="16" customHeight="1" x14ac:dyDescent="0.25">
      <c r="A3" s="95" t="s">
        <v>20</v>
      </c>
      <c r="B3" s="96" t="s">
        <v>21</v>
      </c>
      <c r="C3" s="96" t="s">
        <v>1</v>
      </c>
      <c r="D3" s="96" t="s">
        <v>22</v>
      </c>
      <c r="E3" s="94" t="s">
        <v>108</v>
      </c>
      <c r="F3" s="97" t="s">
        <v>109</v>
      </c>
      <c r="G3" s="99" t="s">
        <v>110</v>
      </c>
      <c r="H3" s="99" t="s">
        <v>111</v>
      </c>
      <c r="I3" s="94" t="s">
        <v>112</v>
      </c>
      <c r="J3" s="94" t="s">
        <v>28</v>
      </c>
      <c r="K3" s="94" t="s">
        <v>113</v>
      </c>
      <c r="L3" s="94" t="s">
        <v>114</v>
      </c>
      <c r="M3" s="22"/>
      <c r="N3" s="22"/>
      <c r="O3" s="22"/>
      <c r="P3" s="22"/>
      <c r="Q3" s="22"/>
      <c r="R3" s="22"/>
      <c r="S3" s="22"/>
      <c r="T3" s="22"/>
    </row>
    <row r="4" spans="1:24" s="21" customFormat="1" ht="38.25" customHeight="1" x14ac:dyDescent="0.2">
      <c r="A4" s="95"/>
      <c r="B4" s="96"/>
      <c r="C4" s="96"/>
      <c r="D4" s="96"/>
      <c r="E4" s="94"/>
      <c r="F4" s="98"/>
      <c r="G4" s="99"/>
      <c r="H4" s="99"/>
      <c r="I4" s="94"/>
      <c r="J4" s="94"/>
      <c r="K4" s="94"/>
      <c r="L4" s="94"/>
      <c r="M4" s="24">
        <v>46174</v>
      </c>
      <c r="N4" s="24">
        <f t="shared" ref="N4:S4" si="0">EDATE(M4,1)</f>
        <v>46204</v>
      </c>
      <c r="O4" s="24">
        <f t="shared" si="0"/>
        <v>46235</v>
      </c>
      <c r="P4" s="24">
        <f t="shared" si="0"/>
        <v>46266</v>
      </c>
      <c r="Q4" s="24">
        <f t="shared" si="0"/>
        <v>46296</v>
      </c>
      <c r="R4" s="24">
        <f t="shared" si="0"/>
        <v>46327</v>
      </c>
      <c r="S4" s="24">
        <f t="shared" si="0"/>
        <v>46357</v>
      </c>
      <c r="T4" s="25"/>
    </row>
    <row r="5" spans="1:24" s="21" customFormat="1" ht="24" x14ac:dyDescent="0.2">
      <c r="A5" s="74" t="s">
        <v>31</v>
      </c>
      <c r="B5" s="75"/>
      <c r="C5" s="76"/>
      <c r="D5" s="76"/>
      <c r="E5" s="77"/>
      <c r="F5" s="77"/>
      <c r="G5" s="78"/>
      <c r="H5" s="78"/>
      <c r="I5" s="77"/>
      <c r="J5" s="77"/>
      <c r="K5" s="77"/>
      <c r="L5" s="77"/>
      <c r="M5" s="79"/>
      <c r="N5" s="80"/>
      <c r="O5" s="80"/>
      <c r="P5" s="80"/>
      <c r="Q5" s="81"/>
      <c r="R5" s="81"/>
      <c r="S5" s="81"/>
      <c r="T5" s="81"/>
    </row>
    <row r="6" spans="1:24" s="21" customFormat="1" ht="30" customHeight="1" x14ac:dyDescent="0.2">
      <c r="A6" s="82" t="s">
        <v>32</v>
      </c>
      <c r="B6" s="83"/>
      <c r="C6" s="83"/>
      <c r="D6" s="83"/>
      <c r="E6" s="84"/>
      <c r="F6" s="84"/>
      <c r="G6" s="85"/>
      <c r="H6" s="85"/>
      <c r="I6" s="84"/>
      <c r="J6" s="84"/>
      <c r="K6" s="84"/>
      <c r="L6" s="84"/>
      <c r="M6" s="32"/>
      <c r="N6" s="32"/>
      <c r="O6" s="32"/>
      <c r="P6" s="32"/>
      <c r="Q6" s="32"/>
      <c r="R6" s="32"/>
      <c r="S6" s="32"/>
      <c r="T6" s="32"/>
    </row>
    <row r="7" spans="1:24" s="21" customFormat="1" ht="42" customHeight="1" x14ac:dyDescent="0.2">
      <c r="A7" s="38" t="s">
        <v>33</v>
      </c>
      <c r="B7" s="53">
        <v>45938</v>
      </c>
      <c r="C7" s="53">
        <v>46320</v>
      </c>
      <c r="D7" s="53" t="s">
        <v>115</v>
      </c>
      <c r="E7" s="41">
        <f>4931-703</f>
        <v>4228</v>
      </c>
      <c r="F7" s="41">
        <f>E7*H7</f>
        <v>4092.7039999999997</v>
      </c>
      <c r="G7" s="42">
        <f>VLOOKUP(A7,'[1]EMR - Activity wise'!$A$7:$E$83,5,FALSE)</f>
        <v>0.96</v>
      </c>
      <c r="H7" s="42">
        <v>0.96799999999999997</v>
      </c>
      <c r="I7" s="41">
        <f t="shared" ref="I7:I19" si="1">E7-F7</f>
        <v>135.29600000000028</v>
      </c>
      <c r="J7" s="41">
        <f ca="1">(1-H7)*E7/(C7-(IF(B7&gt;TODAY(),B7,TODAY())))</f>
        <v>7.51644444444445</v>
      </c>
      <c r="K7" s="41">
        <f ca="1">ROUND(J7/1,0)</f>
        <v>8</v>
      </c>
      <c r="L7" s="41">
        <v>8</v>
      </c>
      <c r="M7" s="32"/>
      <c r="N7" s="32"/>
      <c r="O7" s="32"/>
      <c r="P7" s="32"/>
      <c r="Q7" s="32"/>
      <c r="R7" s="32"/>
      <c r="S7" s="32"/>
      <c r="T7" s="32"/>
    </row>
    <row r="8" spans="1:24" s="21" customFormat="1" ht="30" customHeight="1" x14ac:dyDescent="0.2">
      <c r="A8" s="38" t="s">
        <v>35</v>
      </c>
      <c r="B8" s="53">
        <v>46032</v>
      </c>
      <c r="C8" s="53">
        <v>46336</v>
      </c>
      <c r="D8" s="53" t="s">
        <v>36</v>
      </c>
      <c r="E8" s="41">
        <v>55280</v>
      </c>
      <c r="F8" s="41">
        <f t="shared" ref="F8:F19" si="2">E8*H8</f>
        <v>44224</v>
      </c>
      <c r="G8" s="42">
        <f>VLOOKUP(A8,'[1]EMR - Activity wise'!$A$7:$E$83,5,FALSE)</f>
        <v>0.78</v>
      </c>
      <c r="H8" s="42">
        <v>0.8</v>
      </c>
      <c r="I8" s="41">
        <f t="shared" si="1"/>
        <v>11056</v>
      </c>
      <c r="J8" s="41">
        <f t="shared" ref="J8:J19" ca="1" si="3">(1-H8)*E8/(C8-(IF(B8&gt;TODAY(),B8,TODAY())))</f>
        <v>325.17647058823525</v>
      </c>
      <c r="K8" s="41">
        <f ca="1">ROUND(J8/12,0)</f>
        <v>27</v>
      </c>
      <c r="L8" s="41">
        <v>30</v>
      </c>
      <c r="M8" s="32"/>
      <c r="N8" s="32"/>
      <c r="O8" s="32"/>
      <c r="P8" s="32"/>
      <c r="Q8" s="32"/>
      <c r="R8" s="32"/>
      <c r="S8" s="32"/>
      <c r="T8" s="32"/>
    </row>
    <row r="9" spans="1:24" s="21" customFormat="1" ht="30" customHeight="1" x14ac:dyDescent="0.2">
      <c r="A9" s="38" t="s">
        <v>37</v>
      </c>
      <c r="B9" s="53">
        <v>46102</v>
      </c>
      <c r="C9" s="53">
        <v>46371</v>
      </c>
      <c r="D9" s="53" t="s">
        <v>38</v>
      </c>
      <c r="E9" s="41">
        <v>782</v>
      </c>
      <c r="F9" s="41">
        <f t="shared" si="2"/>
        <v>445.73999999999995</v>
      </c>
      <c r="G9" s="42">
        <f>VLOOKUP(A9,'[1]EMR - Activity wise'!$A$7:$E$83,5,FALSE)</f>
        <v>0.56999999999999995</v>
      </c>
      <c r="H9" s="42">
        <v>0.56999999999999995</v>
      </c>
      <c r="I9" s="41">
        <f t="shared" si="1"/>
        <v>336.26000000000005</v>
      </c>
      <c r="J9" s="41">
        <f t="shared" ca="1" si="3"/>
        <v>4.873333333333334</v>
      </c>
      <c r="K9" s="41">
        <f ca="1">ROUND(J9/3,0)</f>
        <v>2</v>
      </c>
      <c r="L9" s="41">
        <v>0</v>
      </c>
      <c r="M9" s="32"/>
      <c r="N9" s="32"/>
      <c r="O9" s="32"/>
      <c r="P9" s="32"/>
      <c r="Q9" s="32"/>
      <c r="R9" s="32"/>
      <c r="S9" s="32"/>
      <c r="T9" s="32"/>
    </row>
    <row r="10" spans="1:24" s="21" customFormat="1" ht="20" hidden="1" x14ac:dyDescent="0.2">
      <c r="A10" s="38" t="s">
        <v>39</v>
      </c>
      <c r="B10" s="53">
        <v>46102</v>
      </c>
      <c r="C10" s="53">
        <f>VLOOKUP(A10,[2]EMR!$B$7:$D$131,3,FALSE)</f>
        <v>46371</v>
      </c>
      <c r="D10" s="53"/>
      <c r="E10" s="41"/>
      <c r="F10" s="41">
        <f t="shared" si="2"/>
        <v>0</v>
      </c>
      <c r="G10" s="42">
        <f>VLOOKUP(A10,'[1]EMR - Activity wise'!$A$7:$E$83,5,FALSE)</f>
        <v>0</v>
      </c>
      <c r="H10" s="42"/>
      <c r="I10" s="41">
        <f t="shared" si="1"/>
        <v>0</v>
      </c>
      <c r="J10" s="41">
        <f t="shared" ca="1" si="3"/>
        <v>0</v>
      </c>
      <c r="K10" s="41"/>
      <c r="L10" s="41"/>
      <c r="M10" s="32"/>
      <c r="N10" s="32"/>
      <c r="O10" s="32"/>
      <c r="P10" s="32"/>
      <c r="Q10" s="32"/>
      <c r="R10" s="32"/>
      <c r="S10" s="32"/>
    </row>
    <row r="11" spans="1:24" s="21" customFormat="1" ht="20" x14ac:dyDescent="0.2">
      <c r="A11" s="38" t="s">
        <v>40</v>
      </c>
      <c r="B11" s="53">
        <v>46073</v>
      </c>
      <c r="C11" s="53">
        <f>VLOOKUP(A11,[2]EMR!$B$7:$D$131,3,FALSE)</f>
        <v>46356</v>
      </c>
      <c r="D11" s="53" t="s">
        <v>36</v>
      </c>
      <c r="E11" s="41">
        <f>17000+7221+1921</f>
        <v>26142</v>
      </c>
      <c r="F11" s="41">
        <f t="shared" si="2"/>
        <v>21175.02</v>
      </c>
      <c r="G11" s="42">
        <f>VLOOKUP(A11,'[1]EMR - Activity wise'!$A$7:$E$83,5,FALSE)</f>
        <v>0.79</v>
      </c>
      <c r="H11" s="42">
        <v>0.81</v>
      </c>
      <c r="I11" s="41">
        <f t="shared" si="1"/>
        <v>4966.9799999999996</v>
      </c>
      <c r="J11" s="41">
        <f t="shared" ca="1" si="3"/>
        <v>91.98111111111109</v>
      </c>
      <c r="K11" s="41">
        <f ca="1">ROUND(J11/10,0)</f>
        <v>9</v>
      </c>
      <c r="L11" s="41">
        <v>12</v>
      </c>
      <c r="M11" s="32"/>
      <c r="N11" s="32"/>
      <c r="O11" s="32"/>
      <c r="P11" s="32"/>
      <c r="Q11" s="32"/>
      <c r="R11" s="32"/>
      <c r="S11" s="32"/>
    </row>
    <row r="12" spans="1:24" s="21" customFormat="1" ht="20" x14ac:dyDescent="0.2">
      <c r="A12" s="38" t="s">
        <v>11</v>
      </c>
      <c r="B12" s="53">
        <v>46315</v>
      </c>
      <c r="C12" s="53">
        <v>46378</v>
      </c>
      <c r="D12" s="53" t="s">
        <v>36</v>
      </c>
      <c r="E12" s="41">
        <f>4635+6638</f>
        <v>11273</v>
      </c>
      <c r="F12" s="41">
        <f t="shared" si="2"/>
        <v>0</v>
      </c>
      <c r="G12" s="42">
        <f>VLOOKUP(A12,'[1]EMR - Activity wise'!$A$7:$E$83,5,FALSE)</f>
        <v>0</v>
      </c>
      <c r="H12" s="42">
        <v>0</v>
      </c>
      <c r="I12" s="41">
        <f t="shared" si="1"/>
        <v>11273</v>
      </c>
      <c r="J12" s="41">
        <f t="shared" ca="1" si="3"/>
        <v>178.93650793650792</v>
      </c>
      <c r="K12" s="41">
        <f ca="1">ROUND(J12/10,0)</f>
        <v>18</v>
      </c>
      <c r="L12" s="41">
        <v>0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spans="1:24" s="21" customFormat="1" ht="30" hidden="1" customHeight="1" x14ac:dyDescent="0.2">
      <c r="A13" s="38" t="s">
        <v>41</v>
      </c>
      <c r="B13" s="53">
        <v>46211</v>
      </c>
      <c r="C13" s="53" t="e">
        <f>VLOOKUP(A13,[2]EMR!$B$7:$D$131,3,FALSE)</f>
        <v>#N/A</v>
      </c>
      <c r="D13" s="53"/>
      <c r="E13" s="41"/>
      <c r="F13" s="41">
        <f t="shared" si="2"/>
        <v>0</v>
      </c>
      <c r="G13" s="42" t="e">
        <f>VLOOKUP(A13,'[1]EMR - Activity wise'!$A$7:$E$83,5,FALSE)</f>
        <v>#N/A</v>
      </c>
      <c r="H13" s="42"/>
      <c r="I13" s="41">
        <f t="shared" si="1"/>
        <v>0</v>
      </c>
      <c r="J13" s="41" t="e">
        <f t="shared" ca="1" si="3"/>
        <v>#N/A</v>
      </c>
      <c r="K13" s="41"/>
      <c r="L13" s="41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4" s="21" customFormat="1" ht="30" hidden="1" customHeight="1" x14ac:dyDescent="0.2">
      <c r="A14" s="38" t="s">
        <v>42</v>
      </c>
      <c r="B14" s="53">
        <f>B13+25</f>
        <v>46236</v>
      </c>
      <c r="C14" s="53" t="e">
        <f>VLOOKUP(A14,[2]EMR!$B$7:$D$131,3,FALSE)</f>
        <v>#N/A</v>
      </c>
      <c r="D14" s="53"/>
      <c r="E14" s="41"/>
      <c r="F14" s="41">
        <f t="shared" si="2"/>
        <v>0</v>
      </c>
      <c r="G14" s="42" t="e">
        <f>VLOOKUP(A14,'[1]EMR - Activity wise'!$A$7:$E$83,5,FALSE)</f>
        <v>#N/A</v>
      </c>
      <c r="H14" s="42"/>
      <c r="I14" s="41">
        <f t="shared" si="1"/>
        <v>0</v>
      </c>
      <c r="J14" s="41" t="e">
        <f t="shared" ca="1" si="3"/>
        <v>#N/A</v>
      </c>
      <c r="K14" s="41"/>
      <c r="L14" s="41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24" s="21" customFormat="1" ht="30" hidden="1" customHeight="1" x14ac:dyDescent="0.2">
      <c r="A15" s="38" t="s">
        <v>43</v>
      </c>
      <c r="B15" s="53">
        <f t="shared" ref="B15:B16" si="4">B14+25</f>
        <v>46261</v>
      </c>
      <c r="C15" s="53" t="e">
        <f>VLOOKUP(A15,[2]EMR!$B$7:$D$131,3,FALSE)</f>
        <v>#N/A</v>
      </c>
      <c r="D15" s="53"/>
      <c r="E15" s="41"/>
      <c r="F15" s="41">
        <f t="shared" si="2"/>
        <v>0</v>
      </c>
      <c r="G15" s="42" t="e">
        <f>VLOOKUP(A15,'[1]EMR - Activity wise'!$A$7:$E$83,5,FALSE)</f>
        <v>#N/A</v>
      </c>
      <c r="H15" s="42"/>
      <c r="I15" s="41">
        <f t="shared" si="1"/>
        <v>0</v>
      </c>
      <c r="J15" s="41" t="e">
        <f t="shared" ca="1" si="3"/>
        <v>#N/A</v>
      </c>
      <c r="K15" s="41"/>
      <c r="L15" s="41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1:24" s="21" customFormat="1" ht="30" hidden="1" customHeight="1" x14ac:dyDescent="0.2">
      <c r="A16" s="38" t="s">
        <v>44</v>
      </c>
      <c r="B16" s="53">
        <f t="shared" si="4"/>
        <v>46286</v>
      </c>
      <c r="C16" s="53" t="e">
        <f>VLOOKUP(A16,[2]EMR!$B$7:$D$131,3,FALSE)</f>
        <v>#N/A</v>
      </c>
      <c r="D16" s="53"/>
      <c r="E16" s="41"/>
      <c r="F16" s="41">
        <f t="shared" si="2"/>
        <v>0</v>
      </c>
      <c r="G16" s="42" t="e">
        <f>VLOOKUP(A16,'[1]EMR - Activity wise'!$A$7:$E$83,5,FALSE)</f>
        <v>#N/A</v>
      </c>
      <c r="H16" s="42"/>
      <c r="I16" s="41">
        <f t="shared" si="1"/>
        <v>0</v>
      </c>
      <c r="J16" s="41" t="e">
        <f t="shared" ca="1" si="3"/>
        <v>#N/A</v>
      </c>
      <c r="K16" s="41"/>
      <c r="L16" s="41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0" s="21" customFormat="1" ht="30" customHeight="1" x14ac:dyDescent="0.2">
      <c r="A17" s="38" t="s">
        <v>116</v>
      </c>
      <c r="B17" s="53">
        <v>46315</v>
      </c>
      <c r="C17" s="53">
        <v>46376</v>
      </c>
      <c r="D17" s="53" t="s">
        <v>36</v>
      </c>
      <c r="E17" s="41">
        <v>290</v>
      </c>
      <c r="F17" s="41">
        <f t="shared" si="2"/>
        <v>0</v>
      </c>
      <c r="G17" s="42">
        <f>VLOOKUP(A17,'[1]EMR - Activity wise'!$A$7:$E$83,5,FALSE)</f>
        <v>0</v>
      </c>
      <c r="H17" s="42">
        <v>0</v>
      </c>
      <c r="I17" s="41">
        <f t="shared" si="1"/>
        <v>290</v>
      </c>
      <c r="J17" s="41">
        <f t="shared" ca="1" si="3"/>
        <v>4.7540983606557381</v>
      </c>
      <c r="K17" s="41">
        <f ca="1">ROUND(J17/5,0)</f>
        <v>1</v>
      </c>
      <c r="L17" s="41">
        <v>0</v>
      </c>
      <c r="M17" s="32"/>
      <c r="N17" s="32"/>
      <c r="O17" s="32"/>
      <c r="P17" s="32"/>
      <c r="Q17" s="32"/>
      <c r="R17" s="32"/>
      <c r="S17" s="32"/>
      <c r="T17" s="32"/>
    </row>
    <row r="18" spans="1:20" s="21" customFormat="1" ht="30" customHeight="1" x14ac:dyDescent="0.2">
      <c r="A18" s="38" t="s">
        <v>46</v>
      </c>
      <c r="B18" s="53">
        <v>46344</v>
      </c>
      <c r="C18" s="53">
        <v>46374</v>
      </c>
      <c r="D18" s="53" t="s">
        <v>36</v>
      </c>
      <c r="E18" s="41">
        <v>530</v>
      </c>
      <c r="F18" s="41">
        <f t="shared" si="2"/>
        <v>0</v>
      </c>
      <c r="G18" s="42">
        <f>VLOOKUP(A18,'[1]EMR - Activity wise'!$A$7:$E$83,5,FALSE)</f>
        <v>0</v>
      </c>
      <c r="H18" s="42">
        <v>0</v>
      </c>
      <c r="I18" s="41">
        <f t="shared" si="1"/>
        <v>530</v>
      </c>
      <c r="J18" s="41">
        <f t="shared" ca="1" si="3"/>
        <v>17.666666666666668</v>
      </c>
      <c r="K18" s="41">
        <f ca="1">ROUND(J18/10,0)</f>
        <v>2</v>
      </c>
      <c r="L18" s="41">
        <v>0</v>
      </c>
      <c r="M18" s="32"/>
      <c r="N18" s="32"/>
      <c r="O18" s="32"/>
      <c r="P18" s="32"/>
      <c r="Q18" s="32"/>
      <c r="R18" s="32"/>
      <c r="S18" s="32"/>
      <c r="T18" s="32"/>
    </row>
    <row r="19" spans="1:20" s="21" customFormat="1" ht="30" customHeight="1" x14ac:dyDescent="0.2">
      <c r="A19" s="38" t="s">
        <v>47</v>
      </c>
      <c r="B19" s="53">
        <v>46336</v>
      </c>
      <c r="C19" s="53">
        <v>46376</v>
      </c>
      <c r="D19" s="53" t="s">
        <v>48</v>
      </c>
      <c r="E19" s="41">
        <v>475</v>
      </c>
      <c r="F19" s="41">
        <f t="shared" si="2"/>
        <v>0</v>
      </c>
      <c r="G19" s="42">
        <f>VLOOKUP(A19,'[1]EMR - Activity wise'!$A$7:$E$83,5,FALSE)</f>
        <v>0</v>
      </c>
      <c r="H19" s="42">
        <v>0</v>
      </c>
      <c r="I19" s="41">
        <f t="shared" si="1"/>
        <v>475</v>
      </c>
      <c r="J19" s="41">
        <f t="shared" ca="1" si="3"/>
        <v>11.875</v>
      </c>
      <c r="K19" s="41">
        <f ca="1">ROUND(J19/10,0)</f>
        <v>1</v>
      </c>
      <c r="L19" s="41">
        <v>0</v>
      </c>
      <c r="M19" s="32"/>
      <c r="N19" s="32"/>
      <c r="O19" s="32"/>
      <c r="P19" s="32"/>
      <c r="Q19" s="32"/>
      <c r="R19" s="32"/>
      <c r="S19" s="32"/>
      <c r="T19" s="32"/>
    </row>
    <row r="20" spans="1:20" s="21" customFormat="1" ht="35.25" customHeight="1" x14ac:dyDescent="0.2">
      <c r="A20" s="45" t="s">
        <v>117</v>
      </c>
      <c r="B20" s="47"/>
      <c r="C20" s="47"/>
      <c r="D20" s="47"/>
      <c r="E20" s="48"/>
      <c r="F20" s="48"/>
      <c r="G20" s="49"/>
      <c r="H20" s="49"/>
      <c r="I20" s="48"/>
      <c r="J20" s="48"/>
      <c r="K20" s="48"/>
      <c r="L20" s="48"/>
      <c r="M20" s="32"/>
      <c r="N20" s="32"/>
      <c r="O20" s="32"/>
      <c r="P20" s="32"/>
      <c r="Q20" s="32"/>
      <c r="R20" s="32"/>
      <c r="S20" s="32"/>
      <c r="T20" s="32"/>
    </row>
    <row r="21" spans="1:20" s="21" customFormat="1" ht="30" customHeight="1" x14ac:dyDescent="0.2">
      <c r="A21" s="38" t="s">
        <v>118</v>
      </c>
      <c r="B21" s="40"/>
      <c r="C21" s="40"/>
      <c r="D21" s="40"/>
      <c r="E21" s="41"/>
      <c r="F21" s="41"/>
      <c r="G21" s="42"/>
      <c r="H21" s="42"/>
      <c r="I21" s="41"/>
      <c r="J21" s="41"/>
      <c r="K21" s="41"/>
      <c r="L21" s="41"/>
      <c r="M21" s="32"/>
      <c r="N21" s="32"/>
      <c r="O21" s="32"/>
      <c r="P21" s="32"/>
      <c r="Q21" s="32"/>
      <c r="R21" s="32"/>
      <c r="S21" s="32"/>
      <c r="T21" s="32"/>
    </row>
    <row r="22" spans="1:20" s="21" customFormat="1" ht="30" customHeight="1" x14ac:dyDescent="0.2">
      <c r="A22" s="86" t="s">
        <v>119</v>
      </c>
      <c r="B22" s="53">
        <v>46167</v>
      </c>
      <c r="C22" s="53">
        <v>46262</v>
      </c>
      <c r="D22" s="53"/>
      <c r="E22" s="41"/>
      <c r="F22" s="41"/>
      <c r="G22" s="42">
        <f>VLOOKUP(A22,'[1]EMR - Activity wise'!$A$7:$E$83,5,FALSE)</f>
        <v>1</v>
      </c>
      <c r="H22" s="42">
        <v>1</v>
      </c>
      <c r="I22" s="41"/>
      <c r="J22" s="41"/>
      <c r="K22" s="41"/>
      <c r="L22" s="41"/>
      <c r="M22" s="32"/>
      <c r="N22" s="32"/>
      <c r="O22" s="32"/>
      <c r="P22" s="32"/>
      <c r="Q22" s="32"/>
      <c r="R22" s="32"/>
      <c r="S22" s="32"/>
      <c r="T22" s="32"/>
    </row>
    <row r="23" spans="1:20" s="21" customFormat="1" ht="30" customHeight="1" x14ac:dyDescent="0.2">
      <c r="A23" s="86" t="s">
        <v>120</v>
      </c>
      <c r="B23" s="53">
        <v>46262</v>
      </c>
      <c r="C23" s="53">
        <v>46310</v>
      </c>
      <c r="D23" s="53"/>
      <c r="E23" s="41"/>
      <c r="F23" s="41"/>
      <c r="G23" s="42">
        <f>VLOOKUP(A23,'[1]EMR - Activity wise'!$A$7:$E$83,5,FALSE)</f>
        <v>0.38</v>
      </c>
      <c r="H23" s="42">
        <v>0.38</v>
      </c>
      <c r="I23" s="41"/>
      <c r="J23" s="41"/>
      <c r="K23" s="41">
        <v>4</v>
      </c>
      <c r="L23" s="41">
        <v>0</v>
      </c>
      <c r="M23" s="32"/>
      <c r="N23" s="32"/>
      <c r="O23" s="32"/>
      <c r="P23" s="32"/>
      <c r="Q23" s="32"/>
      <c r="R23" s="32"/>
      <c r="S23" s="32"/>
      <c r="T23" s="32"/>
    </row>
    <row r="24" spans="1:20" s="21" customFormat="1" ht="30" customHeight="1" x14ac:dyDescent="0.2">
      <c r="A24" s="38" t="s">
        <v>121</v>
      </c>
      <c r="B24" s="53"/>
      <c r="C24" s="53"/>
      <c r="D24" s="53"/>
      <c r="E24" s="41"/>
      <c r="F24" s="41"/>
      <c r="G24" s="42"/>
      <c r="H24" s="42"/>
      <c r="I24" s="41"/>
      <c r="J24" s="41"/>
      <c r="K24" s="41"/>
      <c r="L24" s="41"/>
      <c r="M24" s="32"/>
      <c r="N24" s="32"/>
      <c r="O24" s="32"/>
      <c r="P24" s="32"/>
      <c r="Q24" s="32"/>
      <c r="R24" s="32"/>
      <c r="S24" s="32"/>
      <c r="T24" s="32"/>
    </row>
    <row r="25" spans="1:20" s="21" customFormat="1" ht="30" customHeight="1" x14ac:dyDescent="0.2">
      <c r="A25" s="86" t="s">
        <v>119</v>
      </c>
      <c r="B25" s="53">
        <v>46193</v>
      </c>
      <c r="C25" s="53">
        <v>46298</v>
      </c>
      <c r="D25" s="53"/>
      <c r="E25" s="41"/>
      <c r="F25" s="41"/>
      <c r="G25" s="42">
        <v>0.96</v>
      </c>
      <c r="H25" s="42">
        <v>0.99</v>
      </c>
      <c r="I25" s="41"/>
      <c r="J25" s="41"/>
      <c r="K25" s="41">
        <v>8</v>
      </c>
      <c r="L25" s="41">
        <v>8</v>
      </c>
      <c r="M25" s="32"/>
      <c r="N25" s="32"/>
      <c r="O25" s="32"/>
      <c r="P25" s="32"/>
      <c r="Q25" s="32"/>
      <c r="R25" s="32"/>
      <c r="S25" s="32"/>
      <c r="T25" s="32"/>
    </row>
    <row r="26" spans="1:20" s="21" customFormat="1" ht="30" customHeight="1" x14ac:dyDescent="0.2">
      <c r="A26" s="86" t="s">
        <v>120</v>
      </c>
      <c r="B26" s="53">
        <v>46298</v>
      </c>
      <c r="C26" s="53">
        <v>46325</v>
      </c>
      <c r="D26" s="53"/>
      <c r="E26" s="41"/>
      <c r="F26" s="41"/>
      <c r="G26" s="42">
        <v>0</v>
      </c>
      <c r="H26" s="42">
        <v>0</v>
      </c>
      <c r="I26" s="41"/>
      <c r="J26" s="41"/>
      <c r="K26" s="41"/>
      <c r="L26" s="41"/>
      <c r="M26" s="32"/>
      <c r="N26" s="32"/>
      <c r="O26" s="32"/>
      <c r="P26" s="32"/>
      <c r="Q26" s="32"/>
      <c r="R26" s="32"/>
      <c r="S26" s="32"/>
      <c r="T26" s="32"/>
    </row>
    <row r="27" spans="1:20" s="21" customFormat="1" ht="30" customHeight="1" x14ac:dyDescent="0.2">
      <c r="A27" s="38" t="s">
        <v>122</v>
      </c>
      <c r="B27" s="53"/>
      <c r="C27" s="53"/>
      <c r="D27" s="53"/>
      <c r="E27" s="41"/>
      <c r="F27" s="41"/>
      <c r="G27" s="42"/>
      <c r="H27" s="42"/>
      <c r="I27" s="41"/>
      <c r="J27" s="41"/>
      <c r="K27" s="41"/>
      <c r="L27" s="41"/>
      <c r="M27" s="32"/>
      <c r="N27" s="32"/>
      <c r="O27" s="32"/>
      <c r="P27" s="32"/>
      <c r="Q27" s="32"/>
      <c r="R27" s="32"/>
      <c r="S27" s="32"/>
      <c r="T27" s="32"/>
    </row>
    <row r="28" spans="1:20" s="21" customFormat="1" ht="30" customHeight="1" x14ac:dyDescent="0.2">
      <c r="A28" s="86" t="s">
        <v>119</v>
      </c>
      <c r="B28" s="53">
        <v>46208</v>
      </c>
      <c r="C28" s="53">
        <v>46325</v>
      </c>
      <c r="D28" s="53"/>
      <c r="E28" s="41"/>
      <c r="F28" s="41"/>
      <c r="G28" s="42">
        <v>0.25</v>
      </c>
      <c r="H28" s="42">
        <v>0.31</v>
      </c>
      <c r="I28" s="41"/>
      <c r="J28" s="41"/>
      <c r="K28" s="41">
        <v>10</v>
      </c>
      <c r="L28" s="41">
        <v>12</v>
      </c>
      <c r="M28" s="32"/>
      <c r="N28" s="32"/>
      <c r="O28" s="32"/>
      <c r="P28" s="32"/>
      <c r="Q28" s="32"/>
      <c r="R28" s="32"/>
      <c r="S28" s="32"/>
      <c r="T28" s="32"/>
    </row>
    <row r="29" spans="1:20" s="21" customFormat="1" ht="30" customHeight="1" x14ac:dyDescent="0.2">
      <c r="A29" s="86" t="s">
        <v>120</v>
      </c>
      <c r="B29" s="53">
        <v>46325</v>
      </c>
      <c r="C29" s="53">
        <v>46377</v>
      </c>
      <c r="D29" s="53"/>
      <c r="E29" s="41"/>
      <c r="F29" s="41"/>
      <c r="G29" s="42">
        <v>0</v>
      </c>
      <c r="H29" s="42">
        <v>0</v>
      </c>
      <c r="I29" s="41"/>
      <c r="J29" s="41"/>
      <c r="K29" s="41"/>
      <c r="L29" s="41"/>
      <c r="M29" s="32"/>
      <c r="N29" s="32"/>
      <c r="O29" s="32"/>
      <c r="P29" s="32"/>
      <c r="Q29" s="32"/>
      <c r="R29" s="32"/>
      <c r="S29" s="32"/>
      <c r="T29" s="32"/>
    </row>
    <row r="30" spans="1:20" s="21" customFormat="1" ht="30" customHeight="1" x14ac:dyDescent="0.2">
      <c r="A30" s="45" t="s">
        <v>123</v>
      </c>
      <c r="B30" s="47"/>
      <c r="C30" s="47"/>
      <c r="D30" s="47"/>
      <c r="E30" s="48"/>
      <c r="F30" s="48"/>
      <c r="G30" s="49"/>
      <c r="H30" s="49"/>
      <c r="I30" s="48"/>
      <c r="J30" s="48"/>
      <c r="K30" s="48"/>
      <c r="L30" s="48"/>
      <c r="M30" s="32"/>
      <c r="N30" s="32"/>
      <c r="O30" s="32"/>
      <c r="P30" s="32"/>
      <c r="Q30" s="32"/>
      <c r="R30" s="32"/>
      <c r="S30" s="32"/>
      <c r="T30" s="32"/>
    </row>
    <row r="31" spans="1:20" s="21" customFormat="1" ht="30" customHeight="1" x14ac:dyDescent="0.2">
      <c r="A31" s="86" t="s">
        <v>119</v>
      </c>
      <c r="B31" s="53">
        <v>46213</v>
      </c>
      <c r="C31" s="53">
        <v>46264</v>
      </c>
      <c r="D31" s="53"/>
      <c r="E31" s="41"/>
      <c r="F31" s="41"/>
      <c r="G31" s="42">
        <f>VLOOKUP(A31,'[1]EMR - Activity wise'!$A$7:$E$83,5,FALSE)</f>
        <v>1</v>
      </c>
      <c r="H31" s="42">
        <v>1</v>
      </c>
      <c r="I31" s="41"/>
      <c r="J31" s="41" t="s">
        <v>75</v>
      </c>
      <c r="K31" s="41" t="s">
        <v>75</v>
      </c>
      <c r="L31" s="41"/>
      <c r="M31" s="32"/>
      <c r="N31" s="32"/>
      <c r="O31" s="32"/>
      <c r="P31" s="32"/>
      <c r="Q31" s="32"/>
      <c r="R31" s="32"/>
      <c r="S31" s="32"/>
      <c r="T31" s="32"/>
    </row>
    <row r="32" spans="1:20" s="21" customFormat="1" ht="30" customHeight="1" x14ac:dyDescent="0.2">
      <c r="A32" s="86" t="s">
        <v>124</v>
      </c>
      <c r="B32" s="53">
        <v>46266</v>
      </c>
      <c r="C32" s="53">
        <v>46351</v>
      </c>
      <c r="D32" s="53"/>
      <c r="E32" s="41"/>
      <c r="F32" s="41"/>
      <c r="G32" s="42">
        <f>VLOOKUP(A32,'[1]EMR - Activity wise'!$A$7:$E$83,5,FALSE)</f>
        <v>0.54</v>
      </c>
      <c r="H32" s="42">
        <v>0.57999999999999996</v>
      </c>
      <c r="I32" s="41"/>
      <c r="J32" s="41"/>
      <c r="K32" s="41"/>
      <c r="L32" s="41"/>
      <c r="M32" s="32"/>
      <c r="N32" s="32"/>
      <c r="O32" s="32"/>
      <c r="P32" s="32"/>
      <c r="Q32" s="32"/>
      <c r="R32" s="32"/>
      <c r="S32" s="32"/>
      <c r="T32" s="32"/>
    </row>
    <row r="33" spans="1:20" s="21" customFormat="1" ht="30" customHeight="1" x14ac:dyDescent="0.2">
      <c r="A33" s="45" t="s">
        <v>125</v>
      </c>
      <c r="B33" s="47"/>
      <c r="C33" s="47"/>
      <c r="D33" s="47"/>
      <c r="E33" s="48"/>
      <c r="F33" s="48"/>
      <c r="G33" s="49"/>
      <c r="H33" s="49"/>
      <c r="I33" s="48"/>
      <c r="J33" s="48"/>
      <c r="K33" s="48"/>
      <c r="L33" s="48"/>
      <c r="M33" s="32"/>
      <c r="N33" s="32"/>
      <c r="O33" s="32"/>
      <c r="P33" s="32"/>
      <c r="Q33" s="32"/>
      <c r="R33" s="32"/>
      <c r="S33" s="32"/>
      <c r="T33" s="32"/>
    </row>
    <row r="34" spans="1:20" s="21" customFormat="1" ht="24.75" customHeight="1" x14ac:dyDescent="0.2">
      <c r="A34" s="38" t="s">
        <v>126</v>
      </c>
      <c r="B34" s="53">
        <v>46280</v>
      </c>
      <c r="C34" s="53">
        <v>46325</v>
      </c>
      <c r="D34" s="53" t="s">
        <v>115</v>
      </c>
      <c r="E34" s="41">
        <v>340</v>
      </c>
      <c r="F34" s="41"/>
      <c r="G34" s="42">
        <f>VLOOKUP(A34,'[1]EMR - Activity wise'!$A$7:$E$83,5,FALSE)</f>
        <v>0.33</v>
      </c>
      <c r="H34" s="42">
        <v>0.38</v>
      </c>
      <c r="I34" s="41"/>
      <c r="J34" s="41">
        <f t="shared" ref="J34:J43" ca="1" si="5">(1-H34)*E34/(C34-(IF(B34&gt;TODAY(),B34,TODAY())))</f>
        <v>9.1652173913043491</v>
      </c>
      <c r="K34" s="41">
        <f ca="1">ROUND(J34/4,0)</f>
        <v>2</v>
      </c>
      <c r="L34" s="41">
        <v>3</v>
      </c>
      <c r="M34" s="32"/>
      <c r="N34" s="32"/>
      <c r="O34" s="32"/>
      <c r="P34" s="32"/>
      <c r="Q34" s="32"/>
      <c r="R34" s="32"/>
      <c r="S34" s="32"/>
      <c r="T34" s="32"/>
    </row>
    <row r="35" spans="1:20" s="21" customFormat="1" ht="30" customHeight="1" x14ac:dyDescent="0.2">
      <c r="A35" s="38" t="s">
        <v>87</v>
      </c>
      <c r="B35" s="53">
        <v>46290</v>
      </c>
      <c r="C35" s="53">
        <v>46327</v>
      </c>
      <c r="D35" s="53" t="s">
        <v>36</v>
      </c>
      <c r="E35" s="41">
        <v>350</v>
      </c>
      <c r="F35" s="41"/>
      <c r="G35" s="42">
        <f>VLOOKUP(A35,'[1]EMR - Activity wise'!$A$7:$E$83,5,FALSE)</f>
        <v>0.42</v>
      </c>
      <c r="H35" s="42">
        <v>0.42</v>
      </c>
      <c r="I35" s="41"/>
      <c r="J35" s="41">
        <f t="shared" ca="1" si="5"/>
        <v>8.120000000000001</v>
      </c>
      <c r="K35" s="41">
        <f ca="1">ROUND(J35/3,0)</f>
        <v>3</v>
      </c>
      <c r="L35" s="41">
        <v>4</v>
      </c>
      <c r="M35" s="32"/>
      <c r="N35" s="32"/>
      <c r="O35" s="32"/>
      <c r="P35" s="32"/>
      <c r="Q35" s="32"/>
      <c r="R35" s="32"/>
      <c r="S35" s="32"/>
      <c r="T35" s="32"/>
    </row>
    <row r="36" spans="1:20" s="21" customFormat="1" ht="30" customHeight="1" x14ac:dyDescent="0.2">
      <c r="A36" s="38" t="s">
        <v>88</v>
      </c>
      <c r="B36" s="53">
        <v>46272</v>
      </c>
      <c r="C36" s="53">
        <v>46325</v>
      </c>
      <c r="D36" s="53" t="s">
        <v>36</v>
      </c>
      <c r="E36" s="41">
        <v>3754</v>
      </c>
      <c r="F36" s="41"/>
      <c r="G36" s="42">
        <f>VLOOKUP(A36,'[1]EMR - Activity wise'!$A$7:$E$83,5,FALSE)</f>
        <v>0.68</v>
      </c>
      <c r="H36" s="42">
        <v>0.68</v>
      </c>
      <c r="I36" s="41"/>
      <c r="J36" s="41">
        <f t="shared" ca="1" si="5"/>
        <v>52.22956521739129</v>
      </c>
      <c r="K36" s="41">
        <f ca="1">ROUND(J36/10,0)</f>
        <v>5</v>
      </c>
      <c r="L36" s="41">
        <v>3</v>
      </c>
      <c r="M36" s="32"/>
      <c r="N36" s="32"/>
      <c r="O36" s="32"/>
      <c r="P36" s="32"/>
      <c r="Q36" s="32"/>
      <c r="R36" s="32"/>
      <c r="S36" s="32"/>
      <c r="T36" s="32"/>
    </row>
    <row r="37" spans="1:20" s="21" customFormat="1" ht="30" customHeight="1" x14ac:dyDescent="0.2">
      <c r="A37" s="38" t="s">
        <v>127</v>
      </c>
      <c r="B37" s="53">
        <v>46300</v>
      </c>
      <c r="C37" s="53">
        <v>46320</v>
      </c>
      <c r="D37" s="53" t="s">
        <v>36</v>
      </c>
      <c r="E37" s="41">
        <f>29*30.5</f>
        <v>884.5</v>
      </c>
      <c r="F37" s="41"/>
      <c r="G37" s="42">
        <f>VLOOKUP(A37,'[1]EMR - Activity wise'!$A$7:$E$83,5,FALSE)</f>
        <v>0.64</v>
      </c>
      <c r="H37" s="42">
        <v>0.67</v>
      </c>
      <c r="I37" s="41"/>
      <c r="J37" s="41">
        <f t="shared" ca="1" si="5"/>
        <v>16.215833333333332</v>
      </c>
      <c r="K37" s="41">
        <v>2</v>
      </c>
      <c r="L37" s="41">
        <v>0</v>
      </c>
      <c r="M37" s="32"/>
      <c r="N37" s="32"/>
      <c r="O37" s="32"/>
      <c r="P37" s="32"/>
      <c r="Q37" s="32"/>
      <c r="R37" s="32"/>
      <c r="S37" s="32"/>
      <c r="T37" s="32"/>
    </row>
    <row r="38" spans="1:20" s="21" customFormat="1" ht="30" customHeight="1" x14ac:dyDescent="0.2">
      <c r="A38" s="82" t="s">
        <v>128</v>
      </c>
      <c r="B38" s="83"/>
      <c r="C38" s="83"/>
      <c r="D38" s="83"/>
      <c r="E38" s="84"/>
      <c r="F38" s="84"/>
      <c r="G38" s="85"/>
      <c r="H38" s="85"/>
      <c r="I38" s="84"/>
      <c r="J38" s="84"/>
      <c r="K38" s="84"/>
      <c r="L38" s="84"/>
      <c r="M38" s="32"/>
      <c r="N38" s="32"/>
      <c r="O38" s="32"/>
      <c r="P38" s="32"/>
      <c r="Q38" s="32"/>
      <c r="R38" s="32"/>
      <c r="S38" s="32"/>
      <c r="T38" s="32"/>
    </row>
    <row r="39" spans="1:20" s="21" customFormat="1" ht="30" customHeight="1" x14ac:dyDescent="0.2">
      <c r="A39" s="38" t="s">
        <v>50</v>
      </c>
      <c r="B39" s="53">
        <v>46239</v>
      </c>
      <c r="C39" s="53">
        <v>46366</v>
      </c>
      <c r="D39" s="53" t="s">
        <v>36</v>
      </c>
      <c r="E39" s="41">
        <v>935</v>
      </c>
      <c r="F39" s="41"/>
      <c r="G39" s="42">
        <f>VLOOKUP(A39,'[1]EMR - Activity wise'!$A$7:$E$83,5,FALSE)</f>
        <v>0.38</v>
      </c>
      <c r="H39" s="42">
        <v>0.42</v>
      </c>
      <c r="I39" s="41"/>
      <c r="J39" s="41">
        <f t="shared" ca="1" si="5"/>
        <v>8.4734375000000011</v>
      </c>
      <c r="K39" s="41">
        <f ca="1">ROUND(J39/3,0)</f>
        <v>3</v>
      </c>
      <c r="L39" s="41">
        <v>8</v>
      </c>
      <c r="M39" s="32"/>
      <c r="N39" s="32"/>
      <c r="O39" s="32"/>
      <c r="P39" s="32"/>
      <c r="Q39" s="32"/>
      <c r="R39" s="32"/>
      <c r="S39" s="32"/>
      <c r="T39" s="32"/>
    </row>
    <row r="40" spans="1:20" s="21" customFormat="1" ht="30" customHeight="1" x14ac:dyDescent="0.2">
      <c r="A40" s="38" t="s">
        <v>56</v>
      </c>
      <c r="B40" s="53">
        <v>46252</v>
      </c>
      <c r="C40" s="53">
        <v>46368</v>
      </c>
      <c r="D40" s="53" t="s">
        <v>36</v>
      </c>
      <c r="E40" s="41">
        <v>490</v>
      </c>
      <c r="F40" s="41"/>
      <c r="G40" s="42">
        <f>VLOOKUP(A40,'[1]EMR - Activity wise'!$A$7:$E$83,5,FALSE)</f>
        <v>0.14000000000000001</v>
      </c>
      <c r="H40" s="42">
        <v>0.14000000000000001</v>
      </c>
      <c r="I40" s="41"/>
      <c r="J40" s="41">
        <f t="shared" ca="1" si="5"/>
        <v>6.3848484848484848</v>
      </c>
      <c r="K40" s="41">
        <f t="shared" ref="K40:K43" ca="1" si="6">ROUND(J40/3,0)</f>
        <v>2</v>
      </c>
      <c r="L40" s="41">
        <v>5</v>
      </c>
      <c r="M40" s="32"/>
      <c r="N40" s="32"/>
      <c r="O40" s="32"/>
      <c r="P40" s="32"/>
      <c r="Q40" s="32"/>
      <c r="R40" s="32"/>
      <c r="S40" s="32"/>
      <c r="T40" s="32"/>
    </row>
    <row r="41" spans="1:20" s="21" customFormat="1" ht="30" customHeight="1" x14ac:dyDescent="0.2">
      <c r="A41" s="38" t="s">
        <v>57</v>
      </c>
      <c r="B41" s="53">
        <v>46270</v>
      </c>
      <c r="C41" s="53">
        <v>46374</v>
      </c>
      <c r="D41" s="53" t="s">
        <v>36</v>
      </c>
      <c r="E41" s="41">
        <v>564</v>
      </c>
      <c r="F41" s="41"/>
      <c r="G41" s="42">
        <f>VLOOKUP(A41,'[1]EMR - Activity wise'!$A$7:$E$83,5,FALSE)</f>
        <v>0.08</v>
      </c>
      <c r="H41" s="42">
        <v>0.17</v>
      </c>
      <c r="I41" s="41"/>
      <c r="J41" s="41">
        <f t="shared" ca="1" si="5"/>
        <v>6.5016666666666669</v>
      </c>
      <c r="K41" s="41">
        <f t="shared" ca="1" si="6"/>
        <v>2</v>
      </c>
      <c r="L41" s="41">
        <v>2</v>
      </c>
      <c r="M41" s="32"/>
      <c r="N41" s="32"/>
      <c r="O41" s="32"/>
      <c r="P41" s="32"/>
      <c r="Q41" s="32"/>
      <c r="R41" s="32"/>
      <c r="S41" s="32"/>
      <c r="T41" s="32"/>
    </row>
    <row r="42" spans="1:20" s="21" customFormat="1" ht="30" customHeight="1" x14ac:dyDescent="0.2">
      <c r="A42" s="38" t="s">
        <v>58</v>
      </c>
      <c r="B42" s="53">
        <v>46244</v>
      </c>
      <c r="C42" s="53">
        <v>46366</v>
      </c>
      <c r="D42" s="53" t="s">
        <v>36</v>
      </c>
      <c r="E42" s="41">
        <v>485</v>
      </c>
      <c r="F42" s="41"/>
      <c r="G42" s="42">
        <f>VLOOKUP(A42,'[1]EMR - Activity wise'!$A$7:$E$83,5,FALSE)</f>
        <v>0.17</v>
      </c>
      <c r="H42" s="42">
        <v>0.25</v>
      </c>
      <c r="I42" s="41"/>
      <c r="J42" s="41">
        <f t="shared" ca="1" si="5"/>
        <v>5.68359375</v>
      </c>
      <c r="K42" s="41">
        <f t="shared" ca="1" si="6"/>
        <v>2</v>
      </c>
      <c r="L42" s="41">
        <v>0</v>
      </c>
      <c r="M42" s="32"/>
      <c r="N42" s="32"/>
      <c r="O42" s="32"/>
      <c r="P42" s="32"/>
      <c r="Q42" s="32"/>
      <c r="R42" s="32"/>
      <c r="S42" s="32"/>
      <c r="T42" s="32"/>
    </row>
    <row r="43" spans="1:20" s="21" customFormat="1" ht="42" customHeight="1" x14ac:dyDescent="0.2">
      <c r="A43" s="38" t="s">
        <v>129</v>
      </c>
      <c r="B43" s="53">
        <v>46267</v>
      </c>
      <c r="C43" s="53">
        <v>46356</v>
      </c>
      <c r="D43" s="53" t="s">
        <v>48</v>
      </c>
      <c r="E43" s="41">
        <f>(70.6+77.6+70.6)*2</f>
        <v>437.59999999999997</v>
      </c>
      <c r="F43" s="41"/>
      <c r="G43" s="42">
        <f>VLOOKUP(A43,'[1]EMR - Activity wise'!$A$7:$E$83,5,FALSE)</f>
        <v>0.24</v>
      </c>
      <c r="H43" s="42">
        <v>0.33</v>
      </c>
      <c r="I43" s="41"/>
      <c r="J43" s="41">
        <f t="shared" ca="1" si="5"/>
        <v>5.4294814814814805</v>
      </c>
      <c r="K43" s="41">
        <f t="shared" ca="1" si="6"/>
        <v>2</v>
      </c>
      <c r="L43" s="41">
        <v>3</v>
      </c>
      <c r="M43" s="32"/>
      <c r="N43" s="32"/>
      <c r="O43" s="32"/>
      <c r="P43" s="32"/>
      <c r="Q43" s="32"/>
      <c r="R43" s="32"/>
      <c r="S43" s="32"/>
      <c r="T43" s="32"/>
    </row>
    <row r="44" spans="1:20" s="21" customFormat="1" ht="30" customHeight="1" x14ac:dyDescent="0.2">
      <c r="A44" s="45" t="s">
        <v>59</v>
      </c>
      <c r="B44" s="47"/>
      <c r="C44" s="47"/>
      <c r="D44" s="47"/>
      <c r="E44" s="48"/>
      <c r="F44" s="48"/>
      <c r="G44" s="49"/>
      <c r="H44" s="49"/>
      <c r="I44" s="48"/>
      <c r="J44" s="48"/>
      <c r="K44" s="48"/>
      <c r="L44" s="48"/>
      <c r="M44" s="32"/>
      <c r="N44" s="32"/>
      <c r="O44" s="32"/>
      <c r="P44" s="32"/>
      <c r="Q44" s="32"/>
      <c r="R44" s="32"/>
      <c r="S44" s="32"/>
      <c r="T44" s="32"/>
    </row>
    <row r="45" spans="1:20" s="21" customFormat="1" ht="30" customHeight="1" x14ac:dyDescent="0.2">
      <c r="A45" s="45" t="s">
        <v>60</v>
      </c>
      <c r="B45" s="47"/>
      <c r="C45" s="47"/>
      <c r="D45" s="47"/>
      <c r="E45" s="48"/>
      <c r="F45" s="48"/>
      <c r="G45" s="49"/>
      <c r="H45" s="49"/>
      <c r="I45" s="48"/>
      <c r="J45" s="48"/>
      <c r="K45" s="48"/>
      <c r="L45" s="48"/>
      <c r="M45" s="32"/>
      <c r="N45" s="32"/>
      <c r="O45" s="32"/>
      <c r="P45" s="32"/>
      <c r="Q45" s="32"/>
      <c r="R45" s="32"/>
      <c r="S45" s="32"/>
      <c r="T45" s="32"/>
    </row>
    <row r="46" spans="1:20" s="21" customFormat="1" ht="30" customHeight="1" x14ac:dyDescent="0.2">
      <c r="A46" s="38" t="s">
        <v>61</v>
      </c>
      <c r="B46" s="53">
        <v>46034</v>
      </c>
      <c r="C46" s="53">
        <v>46275</v>
      </c>
      <c r="D46" s="53" t="s">
        <v>48</v>
      </c>
      <c r="E46" s="41">
        <v>1537</v>
      </c>
      <c r="F46" s="41"/>
      <c r="G46" s="42">
        <f>VLOOKUP(A46,'[1]EMR - Activity wise'!$A$7:$E$83,5,FALSE)</f>
        <v>1</v>
      </c>
      <c r="H46" s="42">
        <v>1</v>
      </c>
      <c r="I46" s="41">
        <f>E46-E46*H46</f>
        <v>0</v>
      </c>
      <c r="J46" s="41">
        <f t="shared" ref="J46:J52" ca="1" si="7">(1-H46)*E46/(C46-(IF(B46&gt;TODAY(),B46,TODAY())))</f>
        <v>0</v>
      </c>
      <c r="K46" s="50">
        <f ca="1">ROUND(J46/4,0)</f>
        <v>0</v>
      </c>
      <c r="L46" s="41">
        <v>0</v>
      </c>
      <c r="M46" s="32"/>
      <c r="N46" s="32"/>
      <c r="O46" s="32"/>
      <c r="P46" s="32"/>
      <c r="Q46" s="32"/>
      <c r="R46" s="32"/>
      <c r="S46" s="32"/>
      <c r="T46" s="32"/>
    </row>
    <row r="47" spans="1:20" s="21" customFormat="1" ht="30" customHeight="1" x14ac:dyDescent="0.2">
      <c r="A47" s="38" t="s">
        <v>130</v>
      </c>
      <c r="B47" s="53">
        <v>46049</v>
      </c>
      <c r="C47" s="53">
        <v>46366</v>
      </c>
      <c r="D47" s="53" t="s">
        <v>48</v>
      </c>
      <c r="E47" s="41">
        <f>2760+1800</f>
        <v>4560</v>
      </c>
      <c r="F47" s="41"/>
      <c r="G47" s="42">
        <f>VLOOKUP(A47,'[1]EMR - Activity wise'!$A$7:$E$83,5,FALSE)</f>
        <v>0.64</v>
      </c>
      <c r="H47" s="42">
        <v>0.69</v>
      </c>
      <c r="I47" s="41">
        <v>1203</v>
      </c>
      <c r="J47" s="41">
        <f t="shared" ca="1" si="7"/>
        <v>22.087500000000002</v>
      </c>
      <c r="K47" s="50">
        <f t="shared" ref="K47:K63" ca="1" si="8">ROUND(J47/4,0)</f>
        <v>6</v>
      </c>
      <c r="L47" s="41">
        <v>4</v>
      </c>
      <c r="M47" s="32"/>
      <c r="N47" s="32"/>
      <c r="O47" s="32"/>
      <c r="P47" s="32"/>
      <c r="Q47" s="32"/>
      <c r="R47" s="32"/>
      <c r="S47" s="32"/>
      <c r="T47" s="32"/>
    </row>
    <row r="48" spans="1:20" s="32" customFormat="1" ht="30" customHeight="1" x14ac:dyDescent="0.2">
      <c r="A48" s="38" t="s">
        <v>63</v>
      </c>
      <c r="B48" s="53">
        <v>46042</v>
      </c>
      <c r="C48" s="53">
        <v>46326</v>
      </c>
      <c r="D48" s="53" t="s">
        <v>36</v>
      </c>
      <c r="E48" s="41">
        <v>9830</v>
      </c>
      <c r="F48" s="41"/>
      <c r="G48" s="42">
        <f>VLOOKUP(A48,'[1]EMR - Activity wise'!$A$7:$E$83,5,FALSE)</f>
        <v>0.98</v>
      </c>
      <c r="H48" s="42">
        <v>0.98</v>
      </c>
      <c r="I48" s="41">
        <v>76</v>
      </c>
      <c r="J48" s="41">
        <f t="shared" ca="1" si="7"/>
        <v>8.1916666666666735</v>
      </c>
      <c r="K48" s="50">
        <f t="shared" ca="1" si="8"/>
        <v>2</v>
      </c>
      <c r="L48" s="41">
        <v>5</v>
      </c>
    </row>
    <row r="49" spans="1:12" s="32" customFormat="1" ht="30" customHeight="1" x14ac:dyDescent="0.2">
      <c r="A49" s="38" t="s">
        <v>64</v>
      </c>
      <c r="B49" s="53">
        <v>46032</v>
      </c>
      <c r="C49" s="53">
        <v>46358</v>
      </c>
      <c r="D49" s="53" t="s">
        <v>48</v>
      </c>
      <c r="E49" s="41">
        <v>8425</v>
      </c>
      <c r="F49" s="41"/>
      <c r="G49" s="42">
        <f>VLOOKUP(A49,'[1]EMR - Activity wise'!$A$7:$E$83,5,FALSE)</f>
        <v>0.69</v>
      </c>
      <c r="H49" s="42">
        <v>0.71</v>
      </c>
      <c r="I49" s="41">
        <v>1856</v>
      </c>
      <c r="J49" s="41">
        <f t="shared" ca="1" si="7"/>
        <v>43.629464285714292</v>
      </c>
      <c r="K49" s="50">
        <f t="shared" ca="1" si="8"/>
        <v>11</v>
      </c>
      <c r="L49" s="41">
        <v>8</v>
      </c>
    </row>
    <row r="50" spans="1:12" s="32" customFormat="1" ht="30" customHeight="1" x14ac:dyDescent="0.2">
      <c r="A50" s="38" t="s">
        <v>65</v>
      </c>
      <c r="B50" s="53">
        <v>46275</v>
      </c>
      <c r="C50" s="53">
        <v>46374</v>
      </c>
      <c r="D50" s="53" t="s">
        <v>48</v>
      </c>
      <c r="E50" s="41">
        <v>8263</v>
      </c>
      <c r="F50" s="41"/>
      <c r="G50" s="42">
        <f>VLOOKUP(A50,'[1]EMR - Activity wise'!$A$7:$E$83,5,FALSE)</f>
        <v>0.24</v>
      </c>
      <c r="H50" s="42">
        <v>0.24</v>
      </c>
      <c r="I50" s="41">
        <v>5672</v>
      </c>
      <c r="J50" s="41">
        <f t="shared" ca="1" si="7"/>
        <v>87.220555555555563</v>
      </c>
      <c r="K50" s="50">
        <f ca="1">ROUND(J50/4,0)</f>
        <v>22</v>
      </c>
      <c r="L50" s="41">
        <v>15</v>
      </c>
    </row>
    <row r="51" spans="1:12" s="32" customFormat="1" ht="30" customHeight="1" x14ac:dyDescent="0.2">
      <c r="A51" s="38" t="s">
        <v>66</v>
      </c>
      <c r="B51" s="53">
        <v>46305</v>
      </c>
      <c r="C51" s="53">
        <v>46361</v>
      </c>
      <c r="D51" s="53" t="s">
        <v>48</v>
      </c>
      <c r="E51" s="41">
        <v>820</v>
      </c>
      <c r="F51" s="41"/>
      <c r="G51" s="42">
        <f>VLOOKUP(A51,'[1]EMR - Activity wise'!$A$7:$E$83,5,FALSE)</f>
        <v>0</v>
      </c>
      <c r="H51" s="42">
        <v>0</v>
      </c>
      <c r="I51" s="41">
        <v>692</v>
      </c>
      <c r="J51" s="41">
        <f t="shared" ca="1" si="7"/>
        <v>14.642857142857142</v>
      </c>
      <c r="K51" s="50">
        <f t="shared" ca="1" si="8"/>
        <v>4</v>
      </c>
      <c r="L51" s="41">
        <v>3</v>
      </c>
    </row>
    <row r="52" spans="1:12" s="32" customFormat="1" ht="30" customHeight="1" x14ac:dyDescent="0.2">
      <c r="A52" s="38" t="s">
        <v>67</v>
      </c>
      <c r="B52" s="53">
        <v>46327</v>
      </c>
      <c r="C52" s="53">
        <v>46361</v>
      </c>
      <c r="D52" s="53" t="s">
        <v>36</v>
      </c>
      <c r="E52" s="41">
        <v>3121</v>
      </c>
      <c r="F52" s="41"/>
      <c r="G52" s="42">
        <f>VLOOKUP(A52,'[1]EMR - Activity wise'!$A$7:$E$83,5,FALSE)</f>
        <v>0</v>
      </c>
      <c r="H52" s="42">
        <v>0</v>
      </c>
      <c r="I52" s="41">
        <v>2650</v>
      </c>
      <c r="J52" s="41">
        <f t="shared" ca="1" si="7"/>
        <v>91.794117647058826</v>
      </c>
      <c r="K52" s="50">
        <f t="shared" ca="1" si="8"/>
        <v>23</v>
      </c>
      <c r="L52" s="41">
        <v>16</v>
      </c>
    </row>
    <row r="53" spans="1:12" s="32" customFormat="1" ht="30" customHeight="1" x14ac:dyDescent="0.2">
      <c r="A53" s="45" t="s">
        <v>68</v>
      </c>
      <c r="B53" s="47"/>
      <c r="C53" s="47"/>
      <c r="D53" s="47"/>
      <c r="E53" s="48"/>
      <c r="F53" s="48"/>
      <c r="G53" s="49"/>
      <c r="H53" s="49"/>
      <c r="I53" s="48"/>
      <c r="J53" s="48"/>
      <c r="K53" s="48"/>
      <c r="L53" s="48"/>
    </row>
    <row r="54" spans="1:12" s="32" customFormat="1" ht="30" customHeight="1" x14ac:dyDescent="0.2">
      <c r="A54" s="38" t="s">
        <v>69</v>
      </c>
      <c r="B54" s="53">
        <v>46268</v>
      </c>
      <c r="C54" s="53">
        <v>46353</v>
      </c>
      <c r="D54" s="53" t="s">
        <v>48</v>
      </c>
      <c r="E54" s="87">
        <v>58034</v>
      </c>
      <c r="F54" s="41"/>
      <c r="G54" s="42">
        <f>VLOOKUP(A54,'[1]EMR - Activity wise'!$A$7:$E$83,5,FALSE)</f>
        <v>0.18</v>
      </c>
      <c r="H54" s="42">
        <v>0.25</v>
      </c>
      <c r="I54" s="41">
        <v>16532</v>
      </c>
      <c r="J54" s="41">
        <f t="shared" ref="J54:J63" ca="1" si="9">(1-H54)*E54/(C54-(IF(B54&gt;TODAY(),B54,TODAY())))</f>
        <v>853.44117647058829</v>
      </c>
      <c r="K54" s="50">
        <v>27</v>
      </c>
      <c r="L54" s="41">
        <v>18</v>
      </c>
    </row>
    <row r="55" spans="1:12" s="32" customFormat="1" ht="34.5" customHeight="1" x14ac:dyDescent="0.2">
      <c r="A55" s="38" t="s">
        <v>70</v>
      </c>
      <c r="B55" s="53">
        <v>46270</v>
      </c>
      <c r="C55" s="53">
        <v>46347</v>
      </c>
      <c r="D55" s="53" t="s">
        <v>48</v>
      </c>
      <c r="E55" s="41">
        <v>23078</v>
      </c>
      <c r="F55" s="41"/>
      <c r="G55" s="42">
        <f>VLOOKUP(A55,'[1]EMR - Activity wise'!$A$7:$E$83,5,FALSE)</f>
        <v>0.37</v>
      </c>
      <c r="H55" s="42">
        <v>0.38</v>
      </c>
      <c r="I55" s="41">
        <v>6532</v>
      </c>
      <c r="J55" s="41">
        <f t="shared" ca="1" si="9"/>
        <v>317.96355555555556</v>
      </c>
      <c r="K55" s="50">
        <v>23</v>
      </c>
      <c r="L55" s="41">
        <v>15</v>
      </c>
    </row>
    <row r="56" spans="1:12" s="32" customFormat="1" ht="30" customHeight="1" x14ac:dyDescent="0.2">
      <c r="A56" s="38" t="s">
        <v>71</v>
      </c>
      <c r="B56" s="53">
        <v>46361</v>
      </c>
      <c r="C56" s="53">
        <v>46376</v>
      </c>
      <c r="D56" s="53" t="s">
        <v>38</v>
      </c>
      <c r="E56" s="41">
        <v>4</v>
      </c>
      <c r="F56" s="41"/>
      <c r="G56" s="42">
        <f>VLOOKUP(A56,'[1]EMR - Activity wise'!$A$7:$E$83,5,FALSE)</f>
        <v>0</v>
      </c>
      <c r="H56" s="42">
        <v>0</v>
      </c>
      <c r="I56" s="41">
        <v>0.39999999999999991</v>
      </c>
      <c r="J56" s="41">
        <f t="shared" ca="1" si="9"/>
        <v>0.26666666666666666</v>
      </c>
      <c r="K56" s="50">
        <f t="shared" ca="1" si="8"/>
        <v>0</v>
      </c>
      <c r="L56" s="41">
        <v>0</v>
      </c>
    </row>
    <row r="57" spans="1:12" s="32" customFormat="1" ht="30" customHeight="1" x14ac:dyDescent="0.2">
      <c r="A57" s="38" t="s">
        <v>73</v>
      </c>
      <c r="B57" s="53">
        <v>46230</v>
      </c>
      <c r="C57" s="53">
        <v>46365</v>
      </c>
      <c r="D57" s="53" t="s">
        <v>48</v>
      </c>
      <c r="E57" s="41"/>
      <c r="F57" s="41"/>
      <c r="G57" s="42">
        <f>VLOOKUP(A57,'[1]EMR - Activity wise'!$A$7:$E$83,5,FALSE)</f>
        <v>0.47</v>
      </c>
      <c r="H57" s="42">
        <v>0.47</v>
      </c>
      <c r="I57" s="41">
        <v>854</v>
      </c>
      <c r="J57" s="41">
        <f t="shared" ca="1" si="9"/>
        <v>0</v>
      </c>
      <c r="K57" s="50">
        <f t="shared" ca="1" si="8"/>
        <v>0</v>
      </c>
      <c r="L57" s="41">
        <v>0</v>
      </c>
    </row>
    <row r="58" spans="1:12" s="32" customFormat="1" ht="30" customHeight="1" x14ac:dyDescent="0.2">
      <c r="A58" s="38" t="s">
        <v>74</v>
      </c>
      <c r="B58" s="53">
        <v>46230</v>
      </c>
      <c r="C58" s="53">
        <v>46365</v>
      </c>
      <c r="D58" s="53" t="s">
        <v>38</v>
      </c>
      <c r="E58" s="41"/>
      <c r="F58" s="41"/>
      <c r="G58" s="42">
        <f>VLOOKUP(A58,'[1]EMR - Activity wise'!$A$7:$E$83,5,FALSE)</f>
        <v>0.25</v>
      </c>
      <c r="H58" s="42">
        <v>0.25</v>
      </c>
      <c r="I58" s="41">
        <v>76</v>
      </c>
      <c r="J58" s="41">
        <f t="shared" ca="1" si="9"/>
        <v>0</v>
      </c>
      <c r="K58" s="50">
        <f t="shared" ca="1" si="8"/>
        <v>0</v>
      </c>
      <c r="L58" s="41">
        <v>0</v>
      </c>
    </row>
    <row r="59" spans="1:12" s="32" customFormat="1" ht="30" hidden="1" customHeight="1" x14ac:dyDescent="0.2">
      <c r="A59" s="38" t="s">
        <v>76</v>
      </c>
      <c r="B59" s="53"/>
      <c r="C59" s="53"/>
      <c r="D59" s="53"/>
      <c r="E59" s="41"/>
      <c r="F59" s="41"/>
      <c r="G59" s="42" t="e">
        <f>VLOOKUP(A59,'[1]EMR - Activity wise'!$A$7:$E$83,5,FALSE)</f>
        <v>#N/A</v>
      </c>
      <c r="H59" s="42"/>
      <c r="I59" s="41">
        <v>6</v>
      </c>
      <c r="J59" s="41">
        <f t="shared" ca="1" si="9"/>
        <v>0</v>
      </c>
      <c r="K59" s="50">
        <f t="shared" ca="1" si="8"/>
        <v>0</v>
      </c>
      <c r="L59" s="41"/>
    </row>
    <row r="60" spans="1:12" s="32" customFormat="1" ht="30" customHeight="1" x14ac:dyDescent="0.2">
      <c r="A60" s="38" t="s">
        <v>77</v>
      </c>
      <c r="B60" s="53">
        <v>46189</v>
      </c>
      <c r="C60" s="53">
        <v>46364</v>
      </c>
      <c r="D60" s="53" t="s">
        <v>48</v>
      </c>
      <c r="E60" s="41">
        <v>58362</v>
      </c>
      <c r="F60" s="41"/>
      <c r="G60" s="42">
        <f>VLOOKUP(A60,'[1]EMR - Activity wise'!$A$7:$E$83,5,FALSE)</f>
        <v>0.42</v>
      </c>
      <c r="H60" s="42">
        <v>0.45</v>
      </c>
      <c r="I60" s="41">
        <v>25721</v>
      </c>
      <c r="J60" s="41">
        <f t="shared" ca="1" si="9"/>
        <v>517.72741935483873</v>
      </c>
      <c r="K60" s="50">
        <v>22</v>
      </c>
      <c r="L60" s="41">
        <v>19</v>
      </c>
    </row>
    <row r="61" spans="1:12" s="32" customFormat="1" ht="30" customHeight="1" x14ac:dyDescent="0.2">
      <c r="A61" s="38" t="s">
        <v>78</v>
      </c>
      <c r="B61" s="53">
        <v>46189</v>
      </c>
      <c r="C61" s="53">
        <v>46353</v>
      </c>
      <c r="D61" s="53" t="s">
        <v>48</v>
      </c>
      <c r="E61" s="41">
        <f>21280+4620</f>
        <v>25900</v>
      </c>
      <c r="F61" s="41"/>
      <c r="G61" s="42">
        <f>VLOOKUP(A61,'[1]EMR - Activity wise'!$A$7:$E$83,5,FALSE)</f>
        <v>0.63</v>
      </c>
      <c r="H61" s="42">
        <v>0.64</v>
      </c>
      <c r="I61" s="41">
        <v>4381</v>
      </c>
      <c r="J61" s="41">
        <f t="shared" ca="1" si="9"/>
        <v>182.8235294117647</v>
      </c>
      <c r="K61" s="50">
        <v>18</v>
      </c>
      <c r="L61" s="41">
        <v>17</v>
      </c>
    </row>
    <row r="62" spans="1:12" s="32" customFormat="1" ht="30" customHeight="1" x14ac:dyDescent="0.2">
      <c r="A62" s="38" t="s">
        <v>79</v>
      </c>
      <c r="B62" s="53">
        <v>46305</v>
      </c>
      <c r="C62" s="53">
        <v>46321</v>
      </c>
      <c r="D62" s="53" t="s">
        <v>38</v>
      </c>
      <c r="E62" s="41"/>
      <c r="F62" s="41"/>
      <c r="G62" s="42">
        <f>VLOOKUP(A62,'[1]EMR - Activity wise'!$A$7:$E$83,5,FALSE)</f>
        <v>0</v>
      </c>
      <c r="H62" s="42">
        <v>0</v>
      </c>
      <c r="I62" s="41">
        <v>1</v>
      </c>
      <c r="J62" s="41">
        <f t="shared" ca="1" si="9"/>
        <v>0</v>
      </c>
      <c r="K62" s="50">
        <f t="shared" ca="1" si="8"/>
        <v>0</v>
      </c>
      <c r="L62" s="41">
        <v>0</v>
      </c>
    </row>
    <row r="63" spans="1:12" s="32" customFormat="1" ht="30" customHeight="1" x14ac:dyDescent="0.2">
      <c r="A63" s="38" t="s">
        <v>80</v>
      </c>
      <c r="B63" s="53">
        <v>46310</v>
      </c>
      <c r="C63" s="53">
        <v>46367</v>
      </c>
      <c r="D63" s="53" t="s">
        <v>38</v>
      </c>
      <c r="E63" s="41"/>
      <c r="F63" s="41"/>
      <c r="G63" s="42">
        <f>VLOOKUP(A63,'[1]EMR - Activity wise'!$A$7:$E$83,5,FALSE)</f>
        <v>0</v>
      </c>
      <c r="H63" s="42">
        <v>0</v>
      </c>
      <c r="I63" s="41">
        <v>6</v>
      </c>
      <c r="J63" s="41">
        <f t="shared" ca="1" si="9"/>
        <v>0</v>
      </c>
      <c r="K63" s="50">
        <f t="shared" ca="1" si="8"/>
        <v>0</v>
      </c>
      <c r="L63" s="41">
        <v>0</v>
      </c>
    </row>
    <row r="64" spans="1:12" s="32" customFormat="1" ht="30" customHeight="1" x14ac:dyDescent="0.2">
      <c r="A64" s="88" t="s">
        <v>131</v>
      </c>
      <c r="B64" s="89">
        <v>46346</v>
      </c>
      <c r="C64" s="90">
        <v>46366</v>
      </c>
      <c r="D64" s="90"/>
      <c r="E64" s="91"/>
      <c r="F64" s="91"/>
      <c r="G64" s="92">
        <f>VLOOKUP(A64,'[1]EMR - Activity wise'!$A$7:$E$83,5,FALSE)</f>
        <v>0</v>
      </c>
      <c r="H64" s="93"/>
      <c r="I64" s="91">
        <v>8</v>
      </c>
      <c r="J64" s="91"/>
      <c r="K64" s="91"/>
      <c r="L64" s="91"/>
    </row>
    <row r="65" spans="1:20" s="32" customFormat="1" ht="30" customHeight="1" x14ac:dyDescent="0.2">
      <c r="A65" s="45" t="s">
        <v>83</v>
      </c>
      <c r="B65" s="47"/>
      <c r="C65" s="47"/>
      <c r="D65" s="47"/>
      <c r="E65" s="48"/>
      <c r="F65" s="48"/>
      <c r="G65" s="49"/>
      <c r="H65" s="49"/>
      <c r="I65" s="48"/>
      <c r="J65" s="48"/>
      <c r="K65" s="48"/>
      <c r="L65" s="48"/>
    </row>
    <row r="66" spans="1:20" s="32" customFormat="1" ht="30" customHeight="1" x14ac:dyDescent="0.2">
      <c r="A66" s="38" t="s">
        <v>84</v>
      </c>
      <c r="B66" s="53">
        <v>46310</v>
      </c>
      <c r="C66" s="53">
        <v>46351</v>
      </c>
      <c r="D66" s="53" t="s">
        <v>48</v>
      </c>
      <c r="E66" s="41"/>
      <c r="F66" s="41"/>
      <c r="G66" s="42">
        <f>VLOOKUP(A66,'[1]EMR - Activity wise'!$A$7:$E$83,5,FALSE)</f>
        <v>0</v>
      </c>
      <c r="H66" s="42"/>
      <c r="I66" s="41">
        <v>1872</v>
      </c>
      <c r="J66" s="41">
        <v>62.5</v>
      </c>
      <c r="K66" s="50">
        <f>ROUND(J66/10,0)</f>
        <v>6</v>
      </c>
      <c r="L66" s="41">
        <v>5</v>
      </c>
    </row>
    <row r="67" spans="1:20" s="32" customFormat="1" ht="30" customHeight="1" x14ac:dyDescent="0.2">
      <c r="A67" s="38" t="s">
        <v>61</v>
      </c>
      <c r="B67" s="53">
        <v>46310</v>
      </c>
      <c r="C67" s="53">
        <v>46347</v>
      </c>
      <c r="D67" s="53" t="s">
        <v>48</v>
      </c>
      <c r="E67" s="41"/>
      <c r="F67" s="41"/>
      <c r="G67" s="42">
        <f>VLOOKUP(A67,'[1]EMR - Activity wise'!$A$7:$E$83,5,FALSE)</f>
        <v>1</v>
      </c>
      <c r="H67" s="42"/>
      <c r="I67" s="41">
        <v>0</v>
      </c>
      <c r="J67" s="41">
        <v>0</v>
      </c>
      <c r="K67" s="50">
        <f t="shared" ref="K67:K71" si="10">ROUND(J67/10,0)</f>
        <v>0</v>
      </c>
      <c r="L67" s="41">
        <v>0</v>
      </c>
    </row>
    <row r="68" spans="1:20" s="32" customFormat="1" ht="30" customHeight="1" x14ac:dyDescent="0.2">
      <c r="A68" s="38" t="s">
        <v>86</v>
      </c>
      <c r="B68" s="53">
        <v>46331</v>
      </c>
      <c r="C68" s="53">
        <v>46372</v>
      </c>
      <c r="D68" s="53" t="s">
        <v>38</v>
      </c>
      <c r="E68" s="41"/>
      <c r="F68" s="41"/>
      <c r="G68" s="42">
        <f>VLOOKUP(A68,'[1]EMR - Activity wise'!$A$7:$E$83,5,FALSE)</f>
        <v>0</v>
      </c>
      <c r="H68" s="42"/>
      <c r="I68" s="41">
        <v>195</v>
      </c>
      <c r="J68" s="41">
        <v>5</v>
      </c>
      <c r="K68" s="50">
        <f t="shared" si="10"/>
        <v>1</v>
      </c>
      <c r="L68" s="41">
        <v>0</v>
      </c>
    </row>
    <row r="69" spans="1:20" s="21" customFormat="1" ht="30" customHeight="1" x14ac:dyDescent="0.2">
      <c r="A69" s="38" t="s">
        <v>132</v>
      </c>
      <c r="B69" s="53">
        <v>46331</v>
      </c>
      <c r="C69" s="53">
        <v>46366</v>
      </c>
      <c r="D69" s="53" t="s">
        <v>38</v>
      </c>
      <c r="E69" s="41"/>
      <c r="F69" s="41"/>
      <c r="G69" s="42">
        <f>VLOOKUP(A69,'[1]EMR - Activity wise'!$A$7:$E$83,5,FALSE)</f>
        <v>0.41</v>
      </c>
      <c r="H69" s="42"/>
      <c r="I69" s="41">
        <v>572</v>
      </c>
      <c r="J69" s="41">
        <v>11.603174603174603</v>
      </c>
      <c r="K69" s="50">
        <f t="shared" si="10"/>
        <v>1</v>
      </c>
      <c r="L69" s="41">
        <v>4</v>
      </c>
      <c r="M69" s="32"/>
      <c r="N69" s="32"/>
      <c r="O69" s="32"/>
      <c r="P69" s="32"/>
      <c r="Q69" s="32"/>
      <c r="R69" s="32"/>
      <c r="S69" s="32"/>
      <c r="T69" s="32"/>
    </row>
    <row r="70" spans="1:20" s="21" customFormat="1" ht="30" customHeight="1" x14ac:dyDescent="0.2">
      <c r="A70" s="38" t="s">
        <v>88</v>
      </c>
      <c r="B70" s="53">
        <v>46275</v>
      </c>
      <c r="C70" s="53">
        <v>46361</v>
      </c>
      <c r="D70" s="53" t="s">
        <v>36</v>
      </c>
      <c r="E70" s="41"/>
      <c r="F70" s="41"/>
      <c r="G70" s="42">
        <f>VLOOKUP(A70,'[1]EMR - Activity wise'!$A$7:$E$83,5,FALSE)</f>
        <v>0.68</v>
      </c>
      <c r="H70" s="42"/>
      <c r="I70" s="41">
        <v>324</v>
      </c>
      <c r="J70" s="41">
        <v>12.6875</v>
      </c>
      <c r="K70" s="50">
        <f t="shared" si="10"/>
        <v>1</v>
      </c>
      <c r="L70" s="41">
        <v>3</v>
      </c>
      <c r="M70" s="32"/>
      <c r="N70" s="32"/>
      <c r="O70" s="32"/>
      <c r="P70" s="32"/>
      <c r="Q70" s="32"/>
      <c r="R70" s="32"/>
      <c r="S70" s="32"/>
      <c r="T70" s="32"/>
    </row>
    <row r="71" spans="1:20" s="21" customFormat="1" ht="30" customHeight="1" x14ac:dyDescent="0.2">
      <c r="A71" s="38" t="s">
        <v>89</v>
      </c>
      <c r="B71" s="53">
        <v>46295</v>
      </c>
      <c r="C71" s="53">
        <v>46341</v>
      </c>
      <c r="D71" s="53" t="s">
        <v>36</v>
      </c>
      <c r="E71" s="41"/>
      <c r="F71" s="41"/>
      <c r="G71" s="42">
        <f>VLOOKUP(A71,'[1]EMR - Activity wise'!$A$7:$E$83,5,FALSE)</f>
        <v>0</v>
      </c>
      <c r="H71" s="42"/>
      <c r="I71" s="41">
        <v>265</v>
      </c>
      <c r="J71" s="41">
        <v>4</v>
      </c>
      <c r="K71" s="50">
        <f t="shared" si="10"/>
        <v>0</v>
      </c>
      <c r="L71" s="41">
        <v>2</v>
      </c>
      <c r="M71" s="32"/>
      <c r="N71" s="32"/>
      <c r="O71" s="32"/>
      <c r="P71" s="32"/>
      <c r="Q71" s="32"/>
      <c r="R71" s="32"/>
      <c r="S71" s="32"/>
      <c r="T71" s="32"/>
    </row>
    <row r="72" spans="1:20" s="32" customFormat="1" ht="30" customHeight="1" x14ac:dyDescent="0.2">
      <c r="A72" s="82" t="s">
        <v>90</v>
      </c>
      <c r="B72" s="83"/>
      <c r="C72" s="83"/>
      <c r="D72" s="83"/>
      <c r="E72" s="84"/>
      <c r="F72" s="84"/>
      <c r="G72" s="85"/>
      <c r="H72" s="85"/>
      <c r="I72" s="84"/>
      <c r="J72" s="84"/>
      <c r="K72" s="84"/>
      <c r="L72" s="84"/>
    </row>
    <row r="73" spans="1:20" s="32" customFormat="1" ht="30" customHeight="1" x14ac:dyDescent="0.2">
      <c r="A73" s="64" t="s">
        <v>133</v>
      </c>
      <c r="B73" s="53">
        <v>46295</v>
      </c>
      <c r="C73" s="53">
        <v>46331</v>
      </c>
      <c r="D73" s="53" t="s">
        <v>38</v>
      </c>
      <c r="E73" s="41">
        <v>2</v>
      </c>
      <c r="F73" s="41"/>
      <c r="G73" s="42">
        <f>VLOOKUP(A73,'[1]EMR - Activity wise'!$A$7:$E$83,5,FALSE)</f>
        <v>0</v>
      </c>
      <c r="H73" s="42">
        <v>0</v>
      </c>
      <c r="I73" s="41"/>
      <c r="J73" s="42">
        <f ca="1">(1-H73)*E73/(C73-(IF(B73&gt;TODAY(),B73,TODAY())))</f>
        <v>6.8965517241379309E-2</v>
      </c>
      <c r="K73" s="41">
        <v>4</v>
      </c>
      <c r="L73" s="41">
        <v>6</v>
      </c>
    </row>
    <row r="74" spans="1:20" s="32" customFormat="1" ht="30" customHeight="1" x14ac:dyDescent="0.2">
      <c r="A74" s="64" t="s">
        <v>134</v>
      </c>
      <c r="B74" s="53">
        <v>46302</v>
      </c>
      <c r="C74" s="53">
        <v>46344</v>
      </c>
      <c r="D74" s="53" t="s">
        <v>38</v>
      </c>
      <c r="E74" s="41">
        <v>1</v>
      </c>
      <c r="F74" s="41"/>
      <c r="G74" s="42">
        <f>VLOOKUP(A74,'[1]EMR - Activity wise'!$A$7:$E$83,5,FALSE)</f>
        <v>0</v>
      </c>
      <c r="H74" s="42">
        <v>0</v>
      </c>
      <c r="I74" s="41"/>
      <c r="J74" s="42">
        <f t="shared" ref="J74:J78" ca="1" si="11">(1-H74)*E74/(C74-(IF(B74&gt;TODAY(),B74,TODAY())))</f>
        <v>2.3809523809523808E-2</v>
      </c>
      <c r="K74" s="41">
        <v>0</v>
      </c>
      <c r="L74" s="41"/>
    </row>
    <row r="75" spans="1:20" s="32" customFormat="1" ht="30" customHeight="1" x14ac:dyDescent="0.2">
      <c r="A75" s="64" t="s">
        <v>133</v>
      </c>
      <c r="B75" s="53">
        <v>46306</v>
      </c>
      <c r="C75" s="53">
        <v>46354</v>
      </c>
      <c r="D75" s="53" t="s">
        <v>38</v>
      </c>
      <c r="E75" s="41">
        <v>2</v>
      </c>
      <c r="F75" s="41"/>
      <c r="G75" s="42">
        <f>VLOOKUP(A75,'[1]EMR - Activity wise'!$A$7:$E$83,5,FALSE)</f>
        <v>0</v>
      </c>
      <c r="H75" s="42">
        <v>0</v>
      </c>
      <c r="I75" s="41"/>
      <c r="J75" s="42">
        <f t="shared" ca="1" si="11"/>
        <v>4.1666666666666664E-2</v>
      </c>
      <c r="K75" s="41">
        <v>0</v>
      </c>
      <c r="L75" s="41"/>
    </row>
    <row r="76" spans="1:20" s="32" customFormat="1" ht="30" customHeight="1" x14ac:dyDescent="0.2">
      <c r="A76" s="64" t="s">
        <v>133</v>
      </c>
      <c r="B76" s="53">
        <v>46341</v>
      </c>
      <c r="C76" s="53">
        <v>46377</v>
      </c>
      <c r="D76" s="53" t="s">
        <v>38</v>
      </c>
      <c r="E76" s="41">
        <v>2</v>
      </c>
      <c r="F76" s="41"/>
      <c r="G76" s="42">
        <f>VLOOKUP(A76,'[1]EMR - Activity wise'!$A$7:$E$83,5,FALSE)</f>
        <v>0</v>
      </c>
      <c r="H76" s="42">
        <v>0</v>
      </c>
      <c r="I76" s="41"/>
      <c r="J76" s="42">
        <f t="shared" ca="1" si="11"/>
        <v>5.5555555555555552E-2</v>
      </c>
      <c r="K76" s="41">
        <v>0</v>
      </c>
      <c r="L76" s="41"/>
    </row>
    <row r="77" spans="1:20" s="32" customFormat="1" ht="30" customHeight="1" x14ac:dyDescent="0.2">
      <c r="A77" s="64" t="s">
        <v>133</v>
      </c>
      <c r="B77" s="53">
        <v>46319</v>
      </c>
      <c r="C77" s="53">
        <f>B77+45</f>
        <v>46364</v>
      </c>
      <c r="D77" s="53" t="s">
        <v>38</v>
      </c>
      <c r="E77" s="41">
        <v>2</v>
      </c>
      <c r="F77" s="41"/>
      <c r="G77" s="42">
        <f>VLOOKUP(A77,'[1]EMR - Activity wise'!$A$7:$E$83,5,FALSE)</f>
        <v>0</v>
      </c>
      <c r="H77" s="42">
        <v>0</v>
      </c>
      <c r="I77" s="41"/>
      <c r="J77" s="42">
        <f t="shared" ca="1" si="11"/>
        <v>4.4444444444444446E-2</v>
      </c>
      <c r="K77" s="41">
        <v>0</v>
      </c>
      <c r="L77" s="41"/>
    </row>
    <row r="78" spans="1:20" s="32" customFormat="1" ht="30" customHeight="1" x14ac:dyDescent="0.2">
      <c r="A78" s="64" t="s">
        <v>135</v>
      </c>
      <c r="B78" s="53">
        <v>46323</v>
      </c>
      <c r="C78" s="53">
        <f>B78+50</f>
        <v>46373</v>
      </c>
      <c r="D78" s="53" t="s">
        <v>38</v>
      </c>
      <c r="E78" s="41">
        <v>2</v>
      </c>
      <c r="F78" s="41"/>
      <c r="G78" s="42">
        <f>VLOOKUP(A78,'[1]EMR - Activity wise'!$A$7:$E$83,5,FALSE)</f>
        <v>0</v>
      </c>
      <c r="H78" s="42">
        <v>0</v>
      </c>
      <c r="I78" s="41"/>
      <c r="J78" s="42">
        <f t="shared" ca="1" si="11"/>
        <v>0.04</v>
      </c>
      <c r="K78" s="41">
        <v>0</v>
      </c>
      <c r="L78" s="41"/>
    </row>
    <row r="79" spans="1:20" s="21" customFormat="1" ht="30" customHeight="1" x14ac:dyDescent="0.2">
      <c r="A79" s="82" t="s">
        <v>94</v>
      </c>
      <c r="B79" s="83"/>
      <c r="C79" s="83"/>
      <c r="D79" s="83"/>
      <c r="E79" s="84"/>
      <c r="F79" s="84"/>
      <c r="G79" s="85"/>
      <c r="H79" s="85"/>
      <c r="I79" s="84"/>
      <c r="J79" s="84"/>
      <c r="K79" s="84"/>
      <c r="L79" s="84"/>
      <c r="M79" s="32"/>
      <c r="N79" s="32"/>
      <c r="O79" s="32"/>
      <c r="P79" s="32"/>
      <c r="Q79" s="32"/>
      <c r="R79" s="32"/>
      <c r="S79" s="32"/>
      <c r="T79" s="32"/>
    </row>
    <row r="80" spans="1:20" s="32" customFormat="1" ht="30" customHeight="1" x14ac:dyDescent="0.2">
      <c r="A80" s="38" t="s">
        <v>136</v>
      </c>
      <c r="B80" s="53">
        <v>46275</v>
      </c>
      <c r="C80" s="53">
        <v>46303</v>
      </c>
      <c r="D80" s="53"/>
      <c r="E80" s="41"/>
      <c r="F80" s="41"/>
      <c r="G80" s="42"/>
      <c r="H80" s="42"/>
      <c r="I80" s="41"/>
      <c r="J80" s="41"/>
      <c r="K80" s="41"/>
      <c r="L80" s="41"/>
    </row>
    <row r="81" spans="1:20" s="32" customFormat="1" ht="37" customHeight="1" x14ac:dyDescent="0.2">
      <c r="A81" s="38" t="s">
        <v>96</v>
      </c>
      <c r="B81" s="53">
        <v>46320</v>
      </c>
      <c r="C81" s="53">
        <v>46336</v>
      </c>
      <c r="D81" s="53"/>
      <c r="E81" s="41"/>
      <c r="F81" s="41"/>
      <c r="G81" s="42"/>
      <c r="H81" s="42"/>
      <c r="I81" s="41"/>
      <c r="J81" s="41"/>
      <c r="K81" s="41"/>
      <c r="L81" s="41"/>
    </row>
    <row r="82" spans="1:20" s="32" customFormat="1" ht="30" customHeight="1" x14ac:dyDescent="0.2">
      <c r="A82" s="38" t="s">
        <v>97</v>
      </c>
      <c r="B82" s="53">
        <v>46323</v>
      </c>
      <c r="C82" s="53">
        <v>46341</v>
      </c>
      <c r="D82" s="53"/>
      <c r="E82" s="41"/>
      <c r="F82" s="41"/>
      <c r="G82" s="42"/>
      <c r="H82" s="42"/>
      <c r="I82" s="41"/>
      <c r="J82" s="41"/>
      <c r="K82" s="41"/>
      <c r="L82" s="41"/>
    </row>
    <row r="83" spans="1:20" s="21" customFormat="1" ht="30" customHeight="1" x14ac:dyDescent="0.2">
      <c r="A83" s="33" t="s">
        <v>98</v>
      </c>
      <c r="B83" s="35"/>
      <c r="C83" s="35"/>
      <c r="D83" s="35"/>
      <c r="E83" s="36"/>
      <c r="F83" s="36"/>
      <c r="G83" s="37"/>
      <c r="H83" s="37"/>
      <c r="I83" s="36"/>
      <c r="J83" s="36"/>
      <c r="K83" s="36"/>
      <c r="L83" s="36"/>
      <c r="M83" s="32"/>
      <c r="N83" s="32"/>
      <c r="O83" s="32"/>
      <c r="P83" s="32"/>
      <c r="Q83" s="32"/>
      <c r="R83" s="32"/>
      <c r="S83" s="32"/>
      <c r="T83" s="32"/>
    </row>
    <row r="84" spans="1:20" s="21" customFormat="1" ht="30" customHeight="1" x14ac:dyDescent="0.2">
      <c r="A84" s="38" t="s">
        <v>99</v>
      </c>
      <c r="B84" s="53">
        <v>46357</v>
      </c>
      <c r="C84" s="53">
        <v>46380</v>
      </c>
      <c r="D84" s="53"/>
      <c r="E84" s="41"/>
      <c r="F84" s="41"/>
      <c r="G84" s="42"/>
      <c r="H84" s="42"/>
      <c r="I84" s="41"/>
      <c r="J84" s="41"/>
      <c r="K84" s="41"/>
      <c r="L84" s="41"/>
      <c r="M84" s="32"/>
      <c r="N84" s="32"/>
      <c r="O84" s="32"/>
      <c r="P84" s="32"/>
      <c r="Q84" s="32"/>
      <c r="R84" s="32"/>
      <c r="S84" s="32"/>
      <c r="T84" s="32"/>
    </row>
    <row r="85" spans="1:20" s="21" customFormat="1" ht="30" customHeight="1" x14ac:dyDescent="0.2">
      <c r="A85" s="38" t="s">
        <v>100</v>
      </c>
      <c r="B85" s="53">
        <v>46351</v>
      </c>
      <c r="C85" s="53">
        <v>46376</v>
      </c>
      <c r="D85" s="53"/>
      <c r="E85" s="41"/>
      <c r="F85" s="41"/>
      <c r="G85" s="42"/>
      <c r="H85" s="42"/>
      <c r="I85" s="41"/>
      <c r="J85" s="41"/>
      <c r="K85" s="41"/>
      <c r="L85" s="41"/>
      <c r="M85" s="32"/>
      <c r="N85" s="32"/>
      <c r="O85" s="32"/>
      <c r="P85" s="32"/>
      <c r="Q85" s="32"/>
      <c r="R85" s="32"/>
      <c r="S85" s="32"/>
      <c r="T85" s="32"/>
    </row>
    <row r="86" spans="1:20" s="21" customFormat="1" ht="30" customHeight="1" x14ac:dyDescent="0.2">
      <c r="A86" s="38" t="s">
        <v>101</v>
      </c>
      <c r="B86" s="53">
        <v>46361</v>
      </c>
      <c r="C86" s="53">
        <v>46380</v>
      </c>
      <c r="D86" s="53"/>
      <c r="E86" s="41"/>
      <c r="F86" s="41"/>
      <c r="G86" s="42"/>
      <c r="H86" s="42"/>
      <c r="I86" s="41"/>
      <c r="J86" s="41"/>
      <c r="K86" s="41"/>
      <c r="L86" s="41"/>
      <c r="M86" s="32"/>
      <c r="N86" s="32"/>
      <c r="O86" s="32"/>
      <c r="P86" s="32"/>
      <c r="Q86" s="32"/>
      <c r="R86" s="32"/>
      <c r="S86" s="32"/>
      <c r="T86" s="32"/>
    </row>
    <row r="87" spans="1:20" s="21" customFormat="1" ht="30" customHeight="1" x14ac:dyDescent="0.2">
      <c r="A87" s="38" t="s">
        <v>102</v>
      </c>
      <c r="B87" s="53">
        <v>46346</v>
      </c>
      <c r="C87" s="53">
        <v>46376</v>
      </c>
      <c r="D87" s="53"/>
      <c r="E87" s="41"/>
      <c r="F87" s="41"/>
      <c r="G87" s="42"/>
      <c r="H87" s="42"/>
      <c r="I87" s="41"/>
      <c r="J87" s="41"/>
      <c r="K87" s="41"/>
      <c r="L87" s="41"/>
      <c r="M87" s="32"/>
      <c r="N87" s="32"/>
      <c r="O87" s="32"/>
      <c r="P87" s="32"/>
      <c r="Q87" s="32"/>
      <c r="R87" s="32"/>
      <c r="S87" s="32"/>
      <c r="T87" s="32"/>
    </row>
  </sheetData>
  <mergeCells count="12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conditionalFormatting sqref="M7:S11 M12:T33 M34:S34 M35:T42 M43:S43 M44:T78 M79:S82 M83:T84">
    <cfRule type="expression" dxfId="30" priority="18">
      <formula>AND($B7&lt;&gt;"",$C7&lt;&gt;"",#REF!&lt;&gt;"",$B7&lt;=EOMONTH(M$4,0),($B7+(($C7-$B7)*#REF!))&gt;=M$4)</formula>
    </cfRule>
    <cfRule type="expression" dxfId="29" priority="19">
      <formula>AND($B7&lt;&gt;"",$C7&lt;&gt;"",$B7&lt;=EOMONTH(M$4,0),$C7&gt;=M$4)</formula>
    </cfRule>
  </conditionalFormatting>
  <conditionalFormatting sqref="M7:S11 M12:T33 M34:S34 M35:T42 M43:S43 M44:T78 M80:S82">
    <cfRule type="expression" dxfId="28" priority="9">
      <formula>AND($B7&lt;&gt;"",$C7&lt;&gt;"",$B7&lt;=EOMONTH(M$4,0),$C7&gt;=M$4)</formula>
    </cfRule>
  </conditionalFormatting>
  <conditionalFormatting sqref="M4:T4">
    <cfRule type="expression" dxfId="27" priority="15">
      <formula>M$4=period_selected</formula>
    </cfRule>
  </conditionalFormatting>
  <conditionalFormatting sqref="M6:T79 M80:S82 M83:T84">
    <cfRule type="expression" dxfId="26" priority="10">
      <formula>PercentCompleteBeyond</formula>
    </cfRule>
    <cfRule type="expression" dxfId="25" priority="11">
      <formula>Actual</formula>
    </cfRule>
    <cfRule type="expression" dxfId="24" priority="12">
      <formula>ActualBeyond</formula>
    </cfRule>
    <cfRule type="expression" dxfId="23" priority="13">
      <formula>Plan</formula>
    </cfRule>
    <cfRule type="expression" dxfId="22" priority="14">
      <formula>M$4=period_selected</formula>
    </cfRule>
    <cfRule type="expression" dxfId="21" priority="16">
      <formula>MOD(COLUMN(),2)</formula>
    </cfRule>
    <cfRule type="expression" dxfId="20" priority="17">
      <formula>MOD(COLUMN(),2)=0</formula>
    </cfRule>
  </conditionalFormatting>
  <conditionalFormatting sqref="M7:T78 M80:S82 M83:T84">
    <cfRule type="expression" dxfId="19" priority="8">
      <formula>AND($B7&lt;&gt;"",$C7&lt;&gt;"",$H7&gt;0,$B7&lt;=EOMONTH(M$4,0),($B7+(($C7-$B7)*$H7))&gt;=M$4)</formula>
    </cfRule>
  </conditionalFormatting>
  <conditionalFormatting sqref="M83:T87">
    <cfRule type="expression" dxfId="18" priority="20">
      <formula>AND($B83&lt;&gt;"",$C83&lt;&gt;"",#REF!&gt;0,$B83&lt;=EOMONTH(M$4,0),($B83+(($C83-$B83)*#REF!))&gt;=M$4)</formula>
    </cfRule>
    <cfRule type="expression" dxfId="17" priority="21">
      <formula>AND($B83&lt;&gt;"",$C83&lt;&gt;"",$B83&lt;=EOMONTH(M$4,0),$C83&gt;=M$4)</formula>
    </cfRule>
  </conditionalFormatting>
  <conditionalFormatting sqref="M85:T87">
    <cfRule type="expression" dxfId="16" priority="22">
      <formula>AND($B85&lt;&gt;"",$C85&lt;&gt;"",#REF!&gt;0,$B85&lt;=EOMONTH(M$4,0),($B85+(($C85-$B85)*#REF!))&gt;=M$4)</formula>
    </cfRule>
    <cfRule type="expression" dxfId="15" priority="23">
      <formula>AND($B85&lt;&gt;"",$C85&lt;&gt;"",$B85&lt;=EOMONTH(M$4,0),$C85&gt;=M$4)</formula>
    </cfRule>
    <cfRule type="expression" dxfId="14" priority="24">
      <formula>AND($B85&lt;&gt;"",$C85&lt;&gt;"",#REF!&lt;&gt;"",$B85&lt;=EOMONTH(M$4,0),($B85+(($C85-$B85)*#REF!))&gt;=M$4)</formula>
    </cfRule>
    <cfRule type="expression" dxfId="13" priority="25">
      <formula>PercentCompleteBeyond</formula>
    </cfRule>
    <cfRule type="expression" dxfId="12" priority="26">
      <formula>Actual</formula>
    </cfRule>
    <cfRule type="expression" dxfId="11" priority="27">
      <formula>ActualBeyond</formula>
    </cfRule>
    <cfRule type="expression" dxfId="10" priority="28">
      <formula>Plan</formula>
    </cfRule>
    <cfRule type="expression" dxfId="9" priority="29">
      <formula>M$4=period_selected</formula>
    </cfRule>
    <cfRule type="expression" dxfId="8" priority="30">
      <formula>MOD(COLUMN(),2)</formula>
    </cfRule>
    <cfRule type="expression" dxfId="7" priority="31">
      <formula>MOD(COLUMN(),2)=0</formula>
    </cfRule>
  </conditionalFormatting>
  <conditionalFormatting sqref="T80:T82">
    <cfRule type="expression" dxfId="6" priority="1">
      <formula>PercentCompleteBeyond</formula>
    </cfRule>
    <cfRule type="expression" dxfId="5" priority="2">
      <formula>Actual</formula>
    </cfRule>
    <cfRule type="expression" dxfId="4" priority="3">
      <formula>ActualBeyond</formula>
    </cfRule>
    <cfRule type="expression" dxfId="3" priority="4">
      <formula>Plan</formula>
    </cfRule>
    <cfRule type="expression" dxfId="2" priority="5">
      <formula>T$4=period_selected</formula>
    </cfRule>
    <cfRule type="expression" dxfId="1" priority="6">
      <formula>MOD(COLUMN(),2)</formula>
    </cfRule>
    <cfRule type="expression" dxfId="0" priority="7">
      <formula>MOD(COLUMN(),2)=0</formula>
    </cfRule>
  </conditionalFormatting>
  <dataValidations count="6">
    <dataValidation allowBlank="1" showInputMessage="1" showErrorMessage="1" prompt="Select a period to highlight in H2. A Chart legend is in J2 to AI2" sqref="A2:I2 L2" xr:uid="{E449C0ED-F0B8-4D3C-854F-C124BE8B63EC}"/>
    <dataValidation allowBlank="1" showInputMessage="1" showErrorMessage="1" prompt="Enter actual duration period in column F, starting with cell F5" sqref="L34 C34:F34 C3:I5 H34:I34 L3:L5" xr:uid="{3392CED2-D679-4FB5-9BF4-0D16C48FBAAC}"/>
    <dataValidation allowBlank="1" showInputMessage="1" showErrorMessage="1" prompt="This legend cell indicates the percentage of project completed" sqref="Q2" xr:uid="{041C32ED-1AB3-4BA8-A7E5-BEDDE4A3C6FA}"/>
    <dataValidation allowBlank="1" showInputMessage="1" showErrorMessage="1" prompt="Enter activity in column B, starting with cell B5_x000a_" sqref="A3:A5 A43 A34" xr:uid="{04F6AE24-AE38-4C9E-874C-47014F204A75}"/>
    <dataValidation allowBlank="1" showInputMessage="1" showErrorMessage="1" prompt="Enter plan start period in column C, starting with cell C5" sqref="B3:B5 B34" xr:uid="{9B8D4DC2-6712-4D1F-A6F0-971A3FD6A1CB}"/>
    <dataValidation allowBlank="1" showInputMessage="1" showErrorMessage="1" prompt="Title of the project. Enter a new title in this cell. Highlight a period in H2. Chart legend is in J2 to AI2" sqref="A1" xr:uid="{3EDF211A-D16E-4669-A209-FFEE2EEA503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OPD</vt:lpstr>
      <vt:lpstr>OPD BACKUP</vt:lpstr>
      <vt:lpstr>EMR</vt:lpstr>
      <vt:lpstr>EMR 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Prayank Kumar</dc:creator>
  <cp:lastModifiedBy>Sharma, Anshuman</cp:lastModifiedBy>
  <dcterms:created xsi:type="dcterms:W3CDTF">2026-10-04T13:54:30Z</dcterms:created>
  <dcterms:modified xsi:type="dcterms:W3CDTF">2026-10-07T14:40:38Z</dcterms:modified>
</cp:coreProperties>
</file>